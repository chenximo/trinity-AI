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更新" sheetId="1" r:id="rId3"/>
    <sheet name="AIGC生视频" sheetId="2" r:id="rId4"/>
    <sheet name="AIGC生图片" sheetId="3" r:id="rId5"/>
    <sheet name="AIGC生文本" sheetId="4" r:id="rId6"/>
    <sheet name="AIGC生音乐" sheetId="5" r:id="rId7"/>
    <sheet name="场景化" sheetId="6" r:id="rId8"/>
  </sheets>
  <calcPr/>
</workbook>
</file>

<file path=xl/sharedStrings.xml><?xml version="1.0" encoding="utf-8"?>
<sst xmlns="http://schemas.openxmlformats.org/spreadsheetml/2006/main" count="298" uniqueCount="298">
  <si>
    <t/>
  </si>
  <si>
    <t>更新时间</t>
  </si>
  <si>
    <t>更新模块</t>
  </si>
  <si>
    <t>更新记录</t>
  </si>
  <si>
    <t>备注</t>
  </si>
  <si>
    <t>2026.6.18</t>
  </si>
  <si>
    <t>AIGC生视频</t>
  </si>
  <si>
    <t>生视频新增可灵3.0-turbo，新增vidu q3-drama版本</t>
  </si>
  <si>
    <t>2026.5.28</t>
  </si>
  <si>
    <t>AIGC生音乐</t>
  </si>
  <si>
    <t>生音乐新增Minimax 2.0、2.5、2.6，GL 3、3 pro</t>
  </si>
  <si>
    <t>2026.5.7</t>
  </si>
  <si>
    <t>AIGC生文本</t>
  </si>
  <si>
    <t>生文新增OG 5.5定价，Kimi k2.6定价</t>
  </si>
  <si>
    <t>2026.5.1</t>
  </si>
  <si>
    <t>生视频新增GV 3.1-lite定价，GV历史模型区分无声有声定价</t>
  </si>
  <si>
    <t>2026.4.30</t>
  </si>
  <si>
    <t>场景化能力</t>
  </si>
  <si>
    <t>场景化能力新增混元世界场景漫游2.0、世界全景图2.0计费</t>
  </si>
  <si>
    <t>生视频新增H2 1.0模型计费</t>
  </si>
  <si>
    <t>2026.4.28</t>
  </si>
  <si>
    <t>新增OG 5.4-mini定价</t>
  </si>
  <si>
    <t>2026.4.24</t>
  </si>
  <si>
    <t>生视频新增可灵3.0、3O，4K直出定价3元/秒</t>
  </si>
  <si>
    <t>使用前请联系商务加白配置</t>
  </si>
  <si>
    <t>2026.4.21</t>
  </si>
  <si>
    <t>AIGC生图片</t>
  </si>
  <si>
    <t>生图新增OG image2计费</t>
  </si>
  <si>
    <t>生文新增GLM5.1能力计费</t>
  </si>
  <si>
    <t>2026.4.15</t>
  </si>
  <si>
    <t>AIGC计费</t>
  </si>
  <si>
    <t>AIGC出账计费项切换</t>
  </si>
  <si>
    <t>GV模型区分有声无声定价</t>
  </si>
  <si>
    <t>2026.5.1生效</t>
  </si>
  <si>
    <t>生视频新增Pixverse V5.6、V6.0、C1版本计费</t>
  </si>
  <si>
    <t>2026.4.14</t>
  </si>
  <si>
    <t>生图新增Kling O1计费</t>
  </si>
  <si>
    <t>更新minimax生文国内站价格（当前还不支持缓存读写）</t>
  </si>
  <si>
    <t>2026.4.3</t>
  </si>
  <si>
    <t>Vidu q3系列更新，新增q3-mix报价，调整q3、q3pro、q3turbo报价
Vidu q2增加音画直出计费，按任务次数收费，详情参考大模型场景化能力</t>
  </si>
  <si>
    <t>2026.4.4出账生效新价格</t>
  </si>
  <si>
    <t>2026.3.25</t>
  </si>
  <si>
    <t>新增Kimi、GLM、Minimax模型及定价</t>
  </si>
  <si>
    <t>2026.3.23</t>
  </si>
  <si>
    <t>新增1080P、2K、4K超分直出定价</t>
  </si>
  <si>
    <t>红色方框为原厂不支持分辨率通过超分增强后的分辨率定价</t>
  </si>
  <si>
    <t>点播支持超分增强直出，白色方框为原模型支持分辨率价格，红色方框为超分直出价</t>
  </si>
  <si>
    <t>模型（图片类）</t>
  </si>
  <si>
    <t>模型价格-单位：元/张（国内站）</t>
  </si>
  <si>
    <t>模型价格-单位：美元/张（国际站）</t>
  </si>
  <si>
    <t>模型厂商</t>
  </si>
  <si>
    <t>模型名称</t>
  </si>
  <si>
    <t>属性</t>
  </si>
  <si>
    <t>1K以下（512）</t>
  </si>
  <si>
    <t>1K</t>
  </si>
  <si>
    <t>2K</t>
  </si>
  <si>
    <t>4K</t>
  </si>
  <si>
    <t>1K以下</t>
  </si>
  <si>
    <t>Hunyuan</t>
  </si>
  <si>
    <t>-</t>
  </si>
  <si>
    <t>SI</t>
  </si>
  <si>
    <t>5.0-lite</t>
  </si>
  <si>
    <t>4.0</t>
  </si>
  <si>
    <t>MJ</t>
  </si>
  <si>
    <t>v7</t>
  </si>
  <si>
    <t>JI</t>
  </si>
  <si>
    <t>Qwen</t>
  </si>
  <si>
    <t>0925</t>
  </si>
  <si>
    <t>image-2</t>
  </si>
  <si>
    <t>输入图片/张</t>
  </si>
  <si>
    <t>low</t>
  </si>
  <si>
    <t>medium</t>
  </si>
  <si>
    <t>high</t>
  </si>
  <si>
    <t>GG</t>
  </si>
  <si>
    <t>2.5（超分暂时按1K收）</t>
  </si>
  <si>
    <t>是</t>
  </si>
  <si>
    <t>Vidu</t>
  </si>
  <si>
    <t>q2</t>
  </si>
  <si>
    <t>文生图</t>
  </si>
  <si>
    <t>参考生图1-3张</t>
  </si>
  <si>
    <t>参考生图4-7张</t>
  </si>
  <si>
    <t>Kling</t>
  </si>
  <si>
    <t>3.0-omni</t>
  </si>
  <si>
    <t>O1</t>
  </si>
  <si>
    <t>单图生图</t>
  </si>
  <si>
    <t>多图参考生图</t>
  </si>
  <si>
    <t>扩图</t>
  </si>
  <si>
    <t>模型（文本类）</t>
  </si>
  <si>
    <t>模型价格-单位：元/M token（国内站）</t>
  </si>
  <si>
    <t>模型价格-单位：美元/M token（国际站）</t>
  </si>
  <si>
    <t>输入</t>
  </si>
  <si>
    <t>缓存输入</t>
  </si>
  <si>
    <t>输出</t>
  </si>
  <si>
    <t>3-preview</t>
  </si>
  <si>
    <t>输入长度（0, 16k）</t>
  </si>
  <si>
    <t>输入长度 [16k, 32k）</t>
  </si>
  <si>
    <t>输入长度 [32k+）</t>
  </si>
  <si>
    <t>OG</t>
  </si>
  <si>
    <t>输入&lt;272K context length</t>
  </si>
  <si>
    <t>输入＞272K context length</t>
  </si>
  <si>
    <t>5.4-pro</t>
  </si>
  <si>
    <t>5.3-codex</t>
  </si>
  <si>
    <t>chat-latest</t>
  </si>
  <si>
    <t>5.3-chat-latest</t>
  </si>
  <si>
    <t>5.2-chat-latest</t>
  </si>
  <si>
    <t>5.4-nano</t>
  </si>
  <si>
    <t>5-nano</t>
  </si>
  <si>
    <t>5.4-mini</t>
  </si>
  <si>
    <t>5-chat-latest</t>
  </si>
  <si>
    <t>4o</t>
  </si>
  <si>
    <t>输入：文本、图片、视频</t>
  </si>
  <si>
    <t>输入：音频</t>
  </si>
  <si>
    <t>3.1-pro</t>
  </si>
  <si>
    <t>输入≤20万个token</t>
  </si>
  <si>
    <t>输入＞20万个token</t>
  </si>
  <si>
    <t>3.1-flash-lite-preview</t>
  </si>
  <si>
    <t>3.0-flash</t>
  </si>
  <si>
    <t>2.5-pro</t>
  </si>
  <si>
    <t>2.5-flash</t>
  </si>
  <si>
    <t>GLM</t>
  </si>
  <si>
    <t>输入：≤32K token</t>
  </si>
  <si>
    <t>输入：＞32K token</t>
  </si>
  <si>
    <t>5-Turbo</t>
  </si>
  <si>
    <t>输入：≤32K token，输出≤0.2K token</t>
  </si>
  <si>
    <t>输入：≤32K token，输出＞0.2K token</t>
  </si>
  <si>
    <t>Kimi</t>
  </si>
  <si>
    <t>GK（仅国际站）</t>
  </si>
  <si>
    <t>4.20-0309-non-reasoning</t>
  </si>
  <si>
    <t>4-1-fast-reasoning</t>
  </si>
  <si>
    <t>Deepseek</t>
  </si>
  <si>
    <t>v3.2</t>
  </si>
  <si>
    <t>缓存读</t>
  </si>
  <si>
    <t>缓存写</t>
  </si>
  <si>
    <t>Minimax</t>
  </si>
  <si>
    <t>M2.7</t>
  </si>
  <si>
    <t>M2.5</t>
  </si>
  <si>
    <t>模型价格-单位：元/M token（国内站不支持）</t>
  </si>
  <si>
    <t>5m 缓存写入</t>
  </si>
  <si>
    <t>1h 缓存写入</t>
  </si>
  <si>
    <t>输入-缓存命中</t>
  </si>
  <si>
    <t>CD（仅国际站）</t>
  </si>
  <si>
    <t>Opus 4.7</t>
  </si>
  <si>
    <t>Opus 4.6</t>
  </si>
  <si>
    <t>Opus 4.5</t>
  </si>
  <si>
    <t>Sonnet 4.6</t>
  </si>
  <si>
    <t>Sonnet 4.5</t>
  </si>
  <si>
    <t>≤200K token</t>
  </si>
  <si>
    <t>＞200K token</t>
  </si>
  <si>
    <t>Haiku 4.5</t>
  </si>
  <si>
    <t>AIGC场景化图片处理</t>
  </si>
  <si>
    <t>模型价格-单位：元/秒（国内站）</t>
  </si>
  <si>
    <t>模型价格-单位：美元/秒（国际站）</t>
  </si>
  <si>
    <t>类型</t>
  </si>
  <si>
    <t>能力名称</t>
  </si>
  <si>
    <t>720P</t>
  </si>
  <si>
    <t>1080P</t>
  </si>
  <si>
    <t>8K</t>
  </si>
  <si>
    <t>场景化图片处理</t>
  </si>
  <si>
    <t>图片理解</t>
  </si>
  <si>
    <t>AI扩图</t>
  </si>
  <si>
    <t>图片增强</t>
  </si>
  <si>
    <t>AI换衣</t>
  </si>
  <si>
    <t>AI生商品图片</t>
  </si>
  <si>
    <t>AIGC场景化视频处理</t>
  </si>
  <si>
    <t>场景化视频处理</t>
  </si>
  <si>
    <t>大模型视频增强
（待上线）</t>
  </si>
  <si>
    <t>≤30帧</t>
  </si>
  <si>
    <t>≤60帧</t>
  </si>
  <si>
    <t>≤120帧</t>
  </si>
  <si>
    <t>大模型视频修复
（待上线）</t>
  </si>
  <si>
    <t>视频转绘</t>
  </si>
  <si>
    <t>AI成片（待上线）</t>
  </si>
  <si>
    <t>z</t>
  </si>
  <si>
    <t>商品视频展示</t>
  </si>
  <si>
    <t>垂直场景能力</t>
  </si>
  <si>
    <t>国内站价格</t>
  </si>
  <si>
    <t>国际站价格</t>
  </si>
  <si>
    <t>能力释意</t>
  </si>
  <si>
    <t>价格</t>
  </si>
  <si>
    <t>单位</t>
  </si>
  <si>
    <t>处理次数类</t>
  </si>
  <si>
    <t>kling人脸识别</t>
  </si>
  <si>
    <t>试用可灵对口型能力涉及此项计费</t>
  </si>
  <si>
    <t>元/次</t>
  </si>
  <si>
    <t>美元/次</t>
  </si>
  <si>
    <t>Kling自定义音色</t>
  </si>
  <si>
    <t>使用可灵主体库能力会涉及音色计费</t>
  </si>
  <si>
    <t>Kling文生音效</t>
  </si>
  <si>
    <t>Kling视频配音效</t>
  </si>
  <si>
    <t>Vidu主体识别</t>
  </si>
  <si>
    <t>使用Vidu主体库能力要单独收费</t>
  </si>
  <si>
    <t>Vidu音频直出</t>
  </si>
  <si>
    <t>使用vidu q2图生/参考生的音视频直出功能会在对应任务基础上多消耗15积分</t>
  </si>
  <si>
    <t>永久保留音色需在7天内使用</t>
  </si>
  <si>
    <t>每500字符换算为语音合成1次单位用量，不足500按500来算</t>
  </si>
  <si>
    <t>元/次（500字符）</t>
  </si>
  <si>
    <t>美元/次(500字符）</t>
  </si>
  <si>
    <t>CD Web 搜素</t>
  </si>
  <si>
    <t>按照搜索次数计费</t>
  </si>
  <si>
    <t>混元世界场景漫游2.0</t>
  </si>
  <si>
    <t>HY World 2 Scene</t>
  </si>
  <si>
    <t>混元世界全景图2.0</t>
  </si>
  <si>
    <t>HY World 2 Panorama</t>
  </si>
  <si>
    <t>Vidu 解说剧成片</t>
  </si>
  <si>
    <t>重新合成</t>
  </si>
  <si>
    <t>模型（音乐类）</t>
  </si>
  <si>
    <t>国内站（次/元）</t>
  </si>
  <si>
    <t>国内站（次/美元）</t>
  </si>
  <si>
    <t>MiniMax</t>
  </si>
  <si>
    <t>Minimax Music 2.0</t>
  </si>
  <si>
    <t>Minimax Music 2.5</t>
  </si>
  <si>
    <t>Minimax Music 2.6</t>
  </si>
  <si>
    <t>GL</t>
  </si>
  <si>
    <t>3 Pro</t>
  </si>
  <si>
    <t>Vidu主体识别q2音频直出、Kling对口型会收取人脸识别费用参考场景化能力定价</t>
  </si>
  <si>
    <t>支持超分增强直出，白色方框为原模型支持分辨率价格，红色方框为超分直出价（480/540P：SV对应480P、Pixverse、Vidu对应540P、hailuo对应768P）</t>
  </si>
  <si>
    <t>模型（视频类）</t>
  </si>
  <si>
    <t>480P/540P</t>
  </si>
  <si>
    <t>720P/768P</t>
  </si>
  <si>
    <t>参考生</t>
  </si>
  <si>
    <t>q3-mix</t>
  </si>
  <si>
    <t>q3</t>
  </si>
  <si>
    <t>参考生+错峰模式</t>
  </si>
  <si>
    <t>q3-pro</t>
  </si>
  <si>
    <t>图生、文生、首尾帧生</t>
  </si>
  <si>
    <t>图生、文生、首尾帧生+错峰模型</t>
  </si>
  <si>
    <t>q3-turbo</t>
  </si>
  <si>
    <t>图生、文生、首尾帧生+错峰模式</t>
  </si>
  <si>
    <t>文生</t>
  </si>
  <si>
    <t>文生+错峰</t>
  </si>
  <si>
    <t>参考生+错峰</t>
  </si>
  <si>
    <t>q2-pro</t>
  </si>
  <si>
    <t>图生、首尾帧生</t>
  </si>
  <si>
    <t>图生、首尾帧生+错峰模式</t>
  </si>
  <si>
    <t>q2-turbo</t>
  </si>
  <si>
    <t>3.0-Omni</t>
  </si>
  <si>
    <t>无参考视频+无声</t>
  </si>
  <si>
    <t>无参考视频+有声</t>
  </si>
  <si>
    <t>有参考视频+无声</t>
  </si>
  <si>
    <t>有参考视频+有声（当前已不支持）</t>
  </si>
  <si>
    <t>无声</t>
  </si>
  <si>
    <t>有声+无音色</t>
  </si>
  <si>
    <t>有声+有音色（当前已不支持）</t>
  </si>
  <si>
    <t>3.0-montion-control</t>
  </si>
  <si>
    <t>3.0动作控制</t>
  </si>
  <si>
    <t>无参考视频</t>
  </si>
  <si>
    <t>有参考视频</t>
  </si>
  <si>
    <t>有声</t>
  </si>
  <si>
    <t>2.6-montion-control</t>
  </si>
  <si>
    <t>2.6动作控制</t>
  </si>
  <si>
    <t>2.5-turbo</t>
  </si>
  <si>
    <t>1.6、2.0、2.1</t>
  </si>
  <si>
    <t>avater（数智人）</t>
  </si>
  <si>
    <t>Identifyface（对口型）</t>
  </si>
  <si>
    <t>每不足5秒按照5秒计费</t>
  </si>
  <si>
    <t>H2</t>
  </si>
  <si>
    <t>SV</t>
  </si>
  <si>
    <t>1.5-pro</t>
  </si>
  <si>
    <t>1.0-pro</t>
  </si>
  <si>
    <t>1.0-pro-fast</t>
  </si>
  <si>
    <t>1.0-lite-i2v</t>
  </si>
  <si>
    <t>JV</t>
  </si>
  <si>
    <t>3.0-pro</t>
  </si>
  <si>
    <t>PixVerse</t>
  </si>
  <si>
    <t>V5.6</t>
  </si>
  <si>
    <t>V6.0</t>
  </si>
  <si>
    <t>C1</t>
  </si>
  <si>
    <t>Hailuo</t>
  </si>
  <si>
    <t>02、2.3</t>
  </si>
  <si>
    <t>2.3-fast</t>
  </si>
  <si>
    <t>GV</t>
  </si>
  <si>
    <t>3.1-fast</t>
  </si>
  <si>
    <t>3.1-lite</t>
  </si>
  <si>
    <t>OS</t>
  </si>
  <si>
    <t>Mingmou</t>
  </si>
  <si>
    <r>
      <rPr>
        <b val="false"/>
        <i val="false"/>
        <strike val="false"/>
        <color rgb="FF000000"/>
        <sz val="10"/>
      </rPr>
      <t>OG</t>
    </r>
    <r>
      <rPr>
        <b val="true"/>
        <i val="false"/>
        <strike val="false"/>
        <color rgb="FFDE3C36"/>
        <sz val="10"/>
      </rPr>
      <t>（新价格）</t>
    </r>
    <r>
      <rPr>
        <b val="true"/>
        <i val="false"/>
        <strike val="false"/>
        <color rgb="FFDE3C36"/>
        <sz val="10"/>
      </rPr>
      <t xml:space="preserve">
2026.5.12生效</t>
    </r>
  </si>
  <si>
    <r>
      <rPr>
        <b val="false"/>
        <i val="false"/>
        <strike val="false"/>
        <color rgb="FF000000"/>
        <sz val="10"/>
      </rPr>
      <t>OG</t>
    </r>
    <r>
      <rPr>
        <b val="true"/>
        <i val="false"/>
        <strike val="false"/>
        <color rgb="FFDE3C36"/>
        <sz val="10"/>
      </rPr>
      <t>（暂行定价）</t>
    </r>
    <r>
      <rPr>
        <b val="true"/>
        <i val="false"/>
        <strike val="false"/>
        <color rgb="FFDE3C36"/>
        <sz val="10"/>
      </rPr>
      <t xml:space="preserve">
2026.5.12前价格</t>
    </r>
  </si>
  <si>
    <r>
      <rPr>
        <b val="false"/>
        <i val="false"/>
        <strike val="false"/>
        <color rgb="FF000000"/>
        <sz val="10"/>
      </rPr>
      <t>expand</t>
    </r>
    <r>
      <rPr>
        <b val="false"/>
        <i val="false"/>
        <strike val="false"/>
        <color rgb="FFDE3C36"/>
        <sz val="10"/>
      </rPr>
      <t>（new）</t>
    </r>
  </si>
  <si>
    <r>
      <rPr>
        <b val="false"/>
        <i val="false"/>
        <strike val="false"/>
        <color rgb="FF000000"/>
        <sz val="10"/>
      </rPr>
      <t>Hunyuan</t>
    </r>
    <r>
      <rPr>
        <b val="false"/>
        <i val="false"/>
        <strike val="false"/>
        <color rgb="FFDE3C36"/>
        <sz val="10"/>
      </rPr>
      <t>（new）</t>
    </r>
  </si>
  <si>
    <r>
      <rPr>
        <b val="false"/>
        <i val="false"/>
        <strike val="false"/>
        <color rgb="FF000000"/>
        <sz val="10"/>
      </rPr>
      <t>5.5</t>
    </r>
    <r>
      <rPr>
        <b val="false"/>
        <i val="false"/>
        <strike val="false"/>
        <color rgb="FFDE3C36"/>
        <sz val="10"/>
      </rPr>
      <t>（new）</t>
    </r>
  </si>
  <si>
    <r>
      <rPr>
        <b val="false"/>
        <i val="false"/>
        <strike val="false"/>
        <color rgb="FF000000"/>
        <sz val="10"/>
      </rPr>
      <t>5.1-chat-latest</t>
    </r>
    <r>
      <rPr>
        <b val="false"/>
        <i val="false"/>
        <strike val="false"/>
        <color rgb="FFDE3C36"/>
        <sz val="10"/>
      </rPr>
      <t>（new）</t>
    </r>
  </si>
  <si>
    <r>
      <rPr>
        <b val="false"/>
        <i val="false"/>
        <strike val="false"/>
        <color rgb="FF000000"/>
        <sz val="10"/>
      </rPr>
      <t>5.1-chat</t>
    </r>
    <r>
      <rPr>
        <b val="false"/>
        <i val="false"/>
        <strike val="false"/>
        <color rgb="FFDE3C36"/>
        <sz val="10"/>
      </rPr>
      <t>（new）</t>
    </r>
  </si>
  <si>
    <r>
      <rPr>
        <b val="false"/>
        <i val="false"/>
        <strike val="false"/>
        <color rgb="FF000000"/>
        <sz val="10"/>
      </rPr>
      <t>5-mini</t>
    </r>
    <r>
      <rPr>
        <b val="false"/>
        <i val="false"/>
        <strike val="false"/>
        <color rgb="FFDE3C36"/>
        <sz val="10"/>
      </rPr>
      <t>（new）</t>
    </r>
  </si>
  <si>
    <r>
      <rPr>
        <b val="false"/>
        <i val="false"/>
        <strike val="false"/>
        <color rgb="FF000000"/>
        <sz val="10"/>
      </rPr>
      <t>4.1</t>
    </r>
    <r>
      <rPr>
        <b val="false"/>
        <i val="false"/>
        <strike val="false"/>
        <color rgb="FFDE3C36"/>
        <sz val="10"/>
      </rPr>
      <t>（new）</t>
    </r>
  </si>
  <si>
    <r>
      <rPr>
        <b val="false"/>
        <i val="false"/>
        <strike val="false"/>
        <color rgb="FF000000"/>
        <sz val="10"/>
        <u val="none"/>
      </rPr>
      <t>3.5-flash</t>
    </r>
    <r>
      <rPr>
        <b val="false"/>
        <i val="false"/>
        <strike val="false"/>
        <color rgb="FFDE3C36"/>
        <sz val="10"/>
        <u val="none"/>
      </rPr>
      <t>（new）</t>
    </r>
  </si>
  <si>
    <r>
      <rPr>
        <b val="false"/>
        <i val="false"/>
        <strike val="false"/>
        <color rgb="FF000000"/>
        <sz val="10"/>
      </rPr>
      <t>3.1-flash-lite</t>
    </r>
    <r>
      <rPr>
        <b val="false"/>
        <i val="false"/>
        <strike val="false"/>
        <color rgb="FFDE3C36"/>
        <sz val="10"/>
      </rPr>
      <t>（new）</t>
    </r>
  </si>
  <si>
    <r>
      <rPr>
        <b val="false"/>
        <i val="false"/>
        <strike val="false"/>
        <color rgb="FF000000"/>
        <sz val="10"/>
      </rPr>
      <t>5.1</t>
    </r>
    <r>
      <rPr>
        <b val="false"/>
        <i val="false"/>
        <strike val="false"/>
        <color rgb="FFDE3C36"/>
        <sz val="10"/>
      </rPr>
      <t>（new）</t>
    </r>
  </si>
  <si>
    <r>
      <rPr>
        <b val="false"/>
        <i val="false"/>
        <strike val="false"/>
        <color rgb="FF000000"/>
        <sz val="10"/>
      </rPr>
      <t>K2.6</t>
    </r>
    <r>
      <rPr>
        <b val="false"/>
        <i val="false"/>
        <strike val="false"/>
        <color rgb="FFDE3C36"/>
        <sz val="10"/>
      </rPr>
      <t>（暂无资源）</t>
    </r>
  </si>
  <si>
    <r>
      <rPr>
        <b val="false"/>
        <i val="false"/>
        <strike val="false"/>
        <color rgb="FF000000"/>
        <sz val="10"/>
      </rPr>
      <t>k2.5</t>
    </r>
    <r>
      <rPr>
        <b val="false"/>
        <i val="false"/>
        <strike val="false"/>
        <color rgb="FFDE3C36"/>
        <sz val="10"/>
      </rPr>
      <t>（暂无资源）</t>
    </r>
  </si>
  <si>
    <r>
      <rPr>
        <b val="false"/>
        <i val="false"/>
        <strike val="false"/>
        <color rgb="FF000000"/>
        <sz val="10"/>
      </rPr>
      <t>4.20-0309-reasoning</t>
    </r>
    <r>
      <rPr>
        <b val="false"/>
        <i val="false"/>
        <strike val="false"/>
        <color rgb="FFDE3C36"/>
        <sz val="10"/>
      </rPr>
      <t>（new）</t>
    </r>
  </si>
  <si>
    <r>
      <rPr>
        <b val="false"/>
        <i val="false"/>
        <strike val="false"/>
        <color rgb="FF000000"/>
        <sz val="10"/>
        <u val="none"/>
      </rPr>
      <t>v4-pro</t>
    </r>
    <r>
      <rPr>
        <b val="false"/>
        <i val="false"/>
        <strike val="false"/>
        <color rgb="FFDE3C36"/>
        <sz val="10"/>
        <u val="none"/>
      </rPr>
      <t>（new）</t>
    </r>
  </si>
  <si>
    <r>
      <rPr>
        <b val="false"/>
        <i val="false"/>
        <strike val="false"/>
        <color rgb="FF000000"/>
        <sz val="10"/>
        <u val="none"/>
      </rPr>
      <t>v4-flash</t>
    </r>
    <r>
      <rPr>
        <b val="false"/>
        <i val="false"/>
        <strike val="false"/>
        <color rgb="FFDE3C36"/>
        <sz val="10"/>
        <u val="none"/>
      </rPr>
      <t>（new）</t>
    </r>
  </si>
  <si>
    <r>
      <rPr>
        <b val="false"/>
        <i val="false"/>
        <strike val="false"/>
        <color rgb="FF000000"/>
        <sz val="10"/>
        <u val="none"/>
      </rPr>
      <t>Opus 4.8</t>
    </r>
    <r>
      <rPr>
        <b val="false"/>
        <i val="false"/>
        <strike val="false"/>
        <color rgb="FFDE3C36"/>
        <sz val="10"/>
        <u val="none"/>
      </rPr>
      <t>（new）</t>
    </r>
  </si>
  <si>
    <r>
      <rPr>
        <b val="false"/>
        <i val="false"/>
        <strike val="false"/>
        <color rgb="FF000000"/>
        <sz val="10"/>
      </rPr>
      <t>Kling语音合成</t>
    </r>
    <r>
      <rPr>
        <b val="false"/>
        <i val="false"/>
        <strike val="false"/>
        <color rgb="FFDE3C36"/>
        <sz val="10"/>
      </rPr>
      <t>（new）</t>
    </r>
  </si>
  <si>
    <r>
      <rPr>
        <b val="false"/>
        <i val="false"/>
        <strike val="false"/>
        <color rgb="FF000000"/>
        <sz val="10"/>
      </rPr>
      <t>Vidu声音复刻</t>
    </r>
    <r>
      <rPr>
        <b val="false"/>
        <i val="false"/>
        <strike val="false"/>
        <color rgb="FFDE3C36"/>
        <sz val="10"/>
      </rPr>
      <t>（new）</t>
    </r>
  </si>
  <si>
    <r>
      <rPr>
        <b val="false"/>
        <i val="false"/>
        <strike val="false"/>
        <color rgb="FF000000"/>
        <sz val="10"/>
      </rPr>
      <t>Vidu语音合成</t>
    </r>
    <r>
      <rPr>
        <b val="false"/>
        <i val="false"/>
        <strike val="false"/>
        <color rgb="FFDE3C36"/>
        <sz val="10"/>
      </rPr>
      <t>（new）</t>
    </r>
  </si>
  <si>
    <r>
      <rPr>
        <b val="false"/>
        <i val="false"/>
        <strike val="false"/>
        <color rgb="FF000000"/>
        <sz val="10"/>
        <u val="none"/>
      </rPr>
      <t>q3-drama</t>
    </r>
    <r>
      <rPr>
        <b val="false"/>
        <i val="false"/>
        <strike val="false"/>
        <color rgb="FFDE3C36"/>
        <sz val="10"/>
        <u val="none"/>
      </rPr>
      <t>（new）</t>
    </r>
  </si>
  <si>
    <r>
      <rPr>
        <b val="false"/>
        <i val="false"/>
        <strike val="false"/>
        <color rgb="FF000000"/>
        <sz val="10"/>
        <u val="none"/>
      </rPr>
      <t>3.0-turbo</t>
    </r>
    <r>
      <rPr>
        <b val="false"/>
        <i val="false"/>
        <strike val="false"/>
        <color rgb="FFDE3C36"/>
        <sz val="10"/>
        <u val="none"/>
      </rPr>
      <t>（new）</t>
    </r>
  </si>
</sst>
</file>

<file path=xl/styles.xml><?xml version="1.0" encoding="utf-8"?>
<styleSheet xmlns="http://schemas.openxmlformats.org/spreadsheetml/2006/main">
  <numFmts count="4">
    <numFmt numFmtId="300" formatCode="0.0"/>
    <numFmt numFmtId="301" formatCode="0.000"/>
    <numFmt numFmtId="302" formatCode="0.0000"/>
    <numFmt numFmtId="303" formatCode="0.0000_ "/>
  </numFmts>
  <fonts count="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</font>
    <font/>
    <font>
      <sz val="10"/>
    </font>
    <font>
      <b val="true"/>
      <color rgb="FFFFFF00"/>
    </font>
    <font>
      <color rgb="FFFFFFFF"/>
    </font>
    <font/>
  </fonts>
  <fills count="10">
    <fill>
      <patternFill patternType="none"/>
    </fill>
    <fill>
      <patternFill patternType="gray125"/>
    </fill>
    <fill>
      <patternFill patternType="solid">
        <fgColor rgb="FF2972F4"/>
        <bgColor auto="true"/>
      </patternFill>
    </fill>
    <fill>
      <patternFill patternType="solid">
        <fgColor rgb="FF000000"/>
        <bgColor auto="true"/>
      </patternFill>
    </fill>
    <fill>
      <patternFill patternType="solid">
        <fgColor rgb="FFB86014"/>
        <bgColor auto="true"/>
      </patternFill>
    </fill>
    <fill>
      <patternFill patternType="solid">
        <fgColor rgb="FF9A38D7"/>
        <bgColor auto="true"/>
      </patternFill>
    </fill>
    <fill>
      <patternFill patternType="solid">
        <fgColor rgb="FFFFE9E8"/>
        <bgColor auto="true"/>
      </patternFill>
    </fill>
    <fill/>
    <fill>
      <patternFill patternType="none"/>
    </fill>
    <fill>
      <patternFill patternType="none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/>
    <border>
      <right/>
      <top/>
    </border>
    <border>
      <left/>
      <right/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13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vertical="center" textRotation="0" indent="0" justifyLastLine="false" shrinkToFit="false"/>
    </xf>
    <xf numFmtId="0" fontId="0" fillId="0" borderId="1" xfId="0">
      <alignment vertical="center" textRotation="0" indent="0" justifyLastLine="false" shrinkToFit="false"/>
    </xf>
    <xf numFmtId="0" fontId="0" fillId="0" borderId="1" xfId="0">
      <alignment vertical="center" textRotation="0" wrapText="true" indent="0" justifyLastLine="false" shrinkToFit="false"/>
    </xf>
    <xf fontId="0" fillId="0" borderId="1" xfId="0">
      <alignment vertical="center"/>
    </xf>
    <xf numFmtId="0" fontId="4" fillId="0" borderId="1" xfId="0">
      <alignment vertical="center" textRotation="0" wrapText="true" indent="0" justifyLastLine="false" shrinkToFit="false"/>
    </xf>
    <xf numFmtId="0" fontId="5" fillId="0" borderId="1" xfId="0">
      <alignment vertical="center" textRotation="0" wrapText="true" indent="0" justifyLastLine="false" shrinkToFit="false"/>
    </xf>
    <xf numFmtId="0" fontId="6" fillId="3" borderId="0" xfId="0">
      <alignment horizontal="center" vertical="center" textRotation="0" indent="0" justifyLastLine="false" shrinkToFit="false"/>
    </xf>
    <xf numFmtId="0" fontId="7" fillId="2" borderId="1" xfId="0">
      <alignment horizontal="center" vertical="center" textRotation="0" indent="0" justifyLastLine="false" shrinkToFit="false"/>
    </xf>
    <xf fontId="0" fillId="0" borderId="1" xfId="0">
      <alignment vertical="center"/>
    </xf>
    <xf numFmtId="0" fontId="7" fillId="4" borderId="1" xfId="0">
      <alignment horizontal="center" vertical="center" textRotation="0" indent="0" justifyLastLine="false" shrinkToFit="false"/>
    </xf>
    <xf numFmtId="0" fontId="7" fillId="5" borderId="1" xfId="0">
      <alignment horizontal="center" vertical="center" textRotation="0" indent="0" justifyLastLine="false" shrinkToFit="false"/>
    </xf>
    <xf numFmtId="0" fontId="7" fillId="2" borderId="1" xfId="0">
      <alignment vertical="center" textRotation="0" indent="0" justifyLastLine="false" shrinkToFit="false"/>
    </xf>
    <xf numFmtId="300" fontId="0" fillId="0" borderId="1" xfId="0">
      <alignment horizontal="left" vertical="center" textRotation="0" indent="0" justifyLastLine="false" shrinkToFit="false"/>
    </xf>
    <xf numFmtId="301" fontId="0" fillId="0" borderId="1" xfId="0">
      <alignment horizontal="center" vertical="center" textRotation="0"/>
    </xf>
    <xf numFmtId="301" fontId="0" fillId="0" borderId="1" xfId="0">
      <alignment horizontal="center" vertical="center" textRotation="0" indent="0" justifyLastLine="false" shrinkToFit="false"/>
    </xf>
    <xf numFmtId="301" fontId="0" fillId="6" borderId="1" xfId="0">
      <alignment horizontal="center" vertical="center" textRotation="0" indent="0" justifyLastLine="false" shrinkToFit="false"/>
    </xf>
    <xf numFmtId="302" fontId="0" fillId="0" borderId="1" xfId="0">
      <alignment horizontal="center" vertical="center" textRotation="0" indent="0" justifyLastLine="false" shrinkToFit="false"/>
    </xf>
    <xf numFmtId="302" fontId="0" fillId="0" borderId="2" xfId="0">
      <alignment horizontal="center" vertical="center"/>
    </xf>
    <xf numFmtId="302" fontId="0" fillId="0" borderId="2" xfId="0">
      <alignment horizontal="center" vertical="center" textRotation="0" indent="0" justifyLastLine="false" shrinkToFit="false"/>
    </xf>
    <xf numFmtId="0" fontId="0" fillId="0" borderId="1" xfId="0">
      <alignment horizontal="left" vertical="center" textRotation="0" indent="0" justifyLastLine="false" shrinkToFit="false"/>
    </xf>
    <xf numFmtId="301" fontId="0" fillId="0" borderId="3" xfId="0">
      <alignment horizontal="center" vertical="center" textRotation="0" indent="0" justifyLastLine="false" shrinkToFit="false"/>
    </xf>
    <xf numFmtId="302" fontId="0" fillId="0" borderId="1" xfId="0">
      <alignment horizontal="center" vertical="center"/>
    </xf>
    <xf numFmtId="49" fontId="0" fillId="0" borderId="1" xfId="0">
      <alignment horizontal="left" vertical="center" textRotation="0" indent="0" justifyLastLine="false" shrinkToFit="false"/>
    </xf>
    <xf numFmtId="302" fontId="0" fillId="0" borderId="4" xfId="0">
      <alignment horizontal="center" vertical="center"/>
    </xf>
    <xf numFmtId="302" fontId="0" fillId="0" borderId="4" xfId="0">
      <alignment horizontal="center" vertical="center" textRotation="0" indent="0" justifyLastLine="false" shrinkToFit="false"/>
    </xf>
    <xf numFmtId="302" fontId="0" fillId="6" borderId="4" xfId="0">
      <alignment horizontal="center" vertical="center" textRotation="0" indent="0" justifyLastLine="false" shrinkToFit="false"/>
    </xf>
    <xf fontId="0" fillId="0" borderId="2" xfId="0">
      <alignment vertical="center" textRotation="0" wrapText="true" indent="0" justifyLastLine="false" shrinkToFit="false"/>
    </xf>
    <xf numFmtId="300" fontId="0" fillId="0" borderId="2" xfId="0">
      <alignment horizontal="left" vertical="center" textRotation="0" indent="0" justifyLastLine="false" shrinkToFit="false"/>
    </xf>
    <xf numFmtId="0" fontId="0" fillId="0" borderId="1" xfId="0">
      <alignment vertical="center"/>
    </xf>
    <xf numFmtId="0" fontId="0" fillId="0" borderId="2" xfId="0">
      <alignment vertical="center"/>
    </xf>
    <xf fontId="0" fillId="0" borderId="2" xfId="0">
      <alignment vertical="center"/>
    </xf>
    <xf fontId="0" fillId="0" borderId="1" xfId="0">
      <alignment vertical="center" textRotation="0" wrapText="true" indent="0" justifyLastLine="false" shrinkToFit="false"/>
    </xf>
    <xf numFmtId="302" fontId="0" fillId="0" borderId="1" xfId="0">
      <alignment horizontal="center" vertical="center" textRotation="0"/>
    </xf>
    <xf numFmtId="302" fontId="0" fillId="0" borderId="3" xfId="0">
      <alignment horizontal="center" vertical="center" textRotation="0"/>
    </xf>
    <xf numFmtId="302" fontId="0" fillId="6" borderId="1" xfId="0">
      <alignment horizontal="center" vertical="center" textRotation="0" indent="0" justifyLastLine="false" shrinkToFit="false"/>
    </xf>
    <xf numFmtId="0" fontId="0" fillId="0" borderId="5" xfId="0">
      <alignment vertical="center" textRotation="0" indent="0" justifyLastLine="false" shrinkToFit="false"/>
    </xf>
    <xf numFmtId="302" fontId="0" fillId="0" borderId="3" xfId="0">
      <alignment horizontal="center" vertical="center"/>
    </xf>
    <xf fontId="0" fillId="0" borderId="5" xfId="0">
      <alignment vertical="center"/>
    </xf>
    <xf numFmtId="301" fontId="0" fillId="0" borderId="5" xfId="0">
      <alignment horizontal="center" vertical="center" textRotation="0"/>
    </xf>
    <xf numFmtId="301" fontId="0" fillId="0" borderId="5" xfId="0">
      <alignment horizontal="center" vertical="center" textRotation="0" indent="0" justifyLastLine="false" shrinkToFit="false"/>
    </xf>
    <xf numFmtId="302" fontId="0" fillId="0" borderId="6" xfId="0">
      <alignment horizontal="center" vertical="center"/>
    </xf>
    <xf numFmtId="302" fontId="0" fillId="0" borderId="5" xfId="0">
      <alignment horizontal="center" vertical="center" textRotation="0" indent="0" justifyLastLine="false" shrinkToFit="false"/>
    </xf>
    <xf fontId="0" fillId="0" borderId="1" xfId="0">
      <alignment vertical="center" textRotation="0" indent="0" justifyLastLine="false" shrinkToFit="false"/>
    </xf>
    <xf numFmtId="0" fontId="3" fillId="2" borderId="1" xfId="0">
      <alignment horizontal="center" vertical="center" textRotation="0" indent="0" justifyLastLine="false" shrinkToFit="false"/>
    </xf>
    <xf numFmtId="0" fontId="3" fillId="4" borderId="1" xfId="0">
      <alignment horizontal="center" vertical="center" textRotation="0" indent="0" justifyLastLine="false" shrinkToFit="false"/>
    </xf>
    <xf numFmtId="0" fontId="3" fillId="5" borderId="1" xfId="0">
      <alignment horizontal="center" vertical="center" textRotation="0" indent="0" justifyLastLine="false" shrinkToFit="false"/>
    </xf>
    <xf fontId="0" fillId="0" borderId="0" xfId="0">
      <alignment vertical="center"/>
    </xf>
    <xf fontId="0" fillId="0" borderId="2" xfId="0">
      <alignment vertical="center" textRotation="0" indent="0" justifyLastLine="false" shrinkToFit="false"/>
    </xf>
    <xf numFmtId="0" fontId="0" fillId="0" borderId="3" xfId="0">
      <alignment vertical="center" textRotation="0" indent="0" justifyLastLine="false" shrinkToFit="false"/>
    </xf>
    <xf numFmtId="0" fontId="0" fillId="0" borderId="7" xfId="0">
      <alignment vertical="center" textRotation="0" indent="0" justifyLastLine="false" shrinkToFit="false"/>
    </xf>
    <xf numFmtId="301" fontId="0" fillId="0" borderId="2" xfId="0">
      <alignment horizontal="center" vertical="center" textRotation="0" indent="0" justifyLastLine="false" shrinkToFit="false"/>
    </xf>
    <xf numFmtId="300" fontId="0" fillId="0" borderId="5" xfId="0">
      <alignment horizontal="left" vertical="center" textRotation="0" indent="0" justifyLastLine="false" shrinkToFit="false"/>
    </xf>
    <xf fontId="8" fillId="0" borderId="1" xfId="0">
      <alignment vertical="center" textRotation="0" indent="0" justifyLastLine="false" shrinkToFit="false"/>
    </xf>
    <xf numFmtId="301" fontId="0" fillId="0" borderId="1" xfId="0">
      <alignment horizontal="center" vertical="center" textRotation="0" wrapText="true" indent="0" justifyLastLine="false" shrinkToFit="false"/>
    </xf>
    <xf numFmtId="0" fontId="0" fillId="0" borderId="2" xfId="0">
      <alignment vertical="center" textRotation="0" indent="0" justifyLastLine="false" shrinkToFit="false"/>
    </xf>
    <xf numFmtId="0" fontId="0" fillId="0" borderId="2" xfId="0">
      <alignment horizontal="left" vertical="center" textRotation="0" indent="0" justifyLastLine="false" shrinkToFit="false"/>
    </xf>
    <xf fontId="0" fillId="0" borderId="5" xfId="0">
      <alignment vertical="center" textRotation="0" indent="0" justifyLastLine="false" shrinkToFit="false"/>
    </xf>
    <xf fontId="0" fillId="0" borderId="5" xfId="0">
      <alignment vertical="center"/>
    </xf>
    <xf numFmtId="301" fontId="0" fillId="0" borderId="5" xfId="0">
      <alignment horizontal="center" vertical="center" textRotation="0" wrapText="true" indent="0" justifyLastLine="false" shrinkToFit="false"/>
    </xf>
    <xf fontId="0" fillId="0" borderId="1" xfId="0">
      <alignment vertical="center" textRotation="0"/>
    </xf>
    <xf numFmtId="0" fontId="4" fillId="7" borderId="1" xfId="0">
      <alignment vertical="center" textRotation="0" indent="0" justifyLastLine="false" shrinkToFit="false"/>
    </xf>
    <xf numFmtId="301" fontId="4" fillId="7" borderId="1" xfId="0">
      <alignment horizontal="center" vertical="center" textRotation="0" indent="0" justifyLastLine="false" shrinkToFit="false"/>
    </xf>
    <xf fontId="0" fillId="0" borderId="8" xfId="0">
      <alignment vertical="center"/>
    </xf>
    <xf numFmtId="0" fontId="8" fillId="8" borderId="1" xfId="0">
      <alignment vertical="center" textRotation="0" indent="0" justifyLastLine="false" shrinkToFit="false"/>
    </xf>
    <xf fontId="0" fillId="8" borderId="1" xfId="0">
      <alignment vertical="center"/>
    </xf>
    <xf numFmtId="301" fontId="4" fillId="8" borderId="1" xfId="0">
      <alignment horizontal="center" vertical="center" textRotation="0" indent="0" justifyLastLine="false" shrinkToFit="false"/>
    </xf>
    <xf numFmtId="301" fontId="0" fillId="8" borderId="1" xfId="0">
      <alignment horizontal="center" vertical="center" textRotation="0" indent="0" justifyLastLine="false" shrinkToFit="false"/>
    </xf>
    <xf numFmtId="301" fontId="4" fillId="9" borderId="1" xfId="0">
      <alignment horizontal="center" vertical="center" textRotation="0" indent="0" justifyLastLine="false" shrinkToFit="false"/>
    </xf>
    <xf fontId="0" fillId="0" borderId="9" xfId="0">
      <alignment vertical="center"/>
    </xf>
    <xf fontId="4" fillId="7" borderId="8" xfId="0">
      <alignment vertical="center"/>
    </xf>
    <xf fontId="0" fillId="7" borderId="1" xfId="0">
      <alignment vertical="center"/>
    </xf>
    <xf fontId="4" fillId="7" borderId="1" xfId="0">
      <alignment vertical="center"/>
    </xf>
    <xf numFmtId="301" fontId="4" fillId="7" borderId="1" xfId="0">
      <alignment horizontal="center" vertical="center" textRotation="0" wrapText="true" indent="0" justifyLastLine="false" shrinkToFit="false"/>
    </xf>
    <xf fontId="4" fillId="7" borderId="10" xfId="0">
      <alignment vertical="center"/>
    </xf>
    <xf fontId="4" fillId="7" borderId="11" xfId="0">
      <alignment vertical="center"/>
    </xf>
    <xf numFmtId="0" fontId="3" fillId="4" borderId="12" xfId="0">
      <alignment horizontal="center" vertical="center" textRotation="0" indent="0" justifyLastLine="false" shrinkToFit="false"/>
    </xf>
    <xf fontId="0" fillId="0" borderId="12" xfId="0">
      <alignment vertical="center"/>
    </xf>
    <xf numFmtId="0" fontId="3" fillId="4" borderId="13" xfId="0">
      <alignment horizontal="center" vertical="center" textRotation="0" indent="0" justifyLastLine="false" shrinkToFit="false"/>
    </xf>
    <xf numFmtId="0" fontId="3" fillId="4" borderId="5" xfId="0">
      <alignment horizontal="center" vertical="center" textRotation="0" indent="0" justifyLastLine="false" shrinkToFit="false"/>
    </xf>
    <xf numFmtId="0" fontId="3" fillId="5" borderId="5" xfId="0">
      <alignment horizontal="center" vertical="center" textRotation="0" indent="0" justifyLastLine="false" shrinkToFit="false"/>
    </xf>
    <xf numFmtId="0" fontId="8" fillId="0" borderId="1" xfId="0">
      <alignment vertical="center" textRotation="0" indent="0" justifyLastLine="false" shrinkToFit="false"/>
    </xf>
    <xf numFmtId="301" fontId="0" fillId="0" borderId="13" xfId="0">
      <alignment horizontal="center" vertical="center" textRotation="0"/>
    </xf>
    <xf fontId="0" fillId="0" borderId="14" xfId="0">
      <alignment vertical="center"/>
    </xf>
    <xf numFmtId="301" fontId="0" fillId="0" borderId="12" xfId="0">
      <alignment horizontal="center" vertical="center" textRotation="0" indent="0" justifyLastLine="false" shrinkToFit="false"/>
    </xf>
    <xf fontId="0" fillId="0" borderId="15" xfId="0">
      <alignment vertical="center"/>
    </xf>
    <xf numFmtId="0" fontId="3" fillId="4" borderId="3" xfId="0">
      <alignment horizontal="center" vertical="center" textRotation="0" indent="0" justifyLastLine="false" shrinkToFit="false"/>
    </xf>
    <xf fontId="0" fillId="0" borderId="3" xfId="0">
      <alignment vertical="center"/>
    </xf>
    <xf numFmtId="0" fontId="3" fillId="2" borderId="2" xfId="0">
      <alignment vertical="center" textRotation="0" indent="0" justifyLastLine="false" shrinkToFit="false"/>
    </xf>
    <xf numFmtId="0" fontId="3" fillId="4" borderId="2" xfId="0">
      <alignment horizontal="center" vertical="center" textRotation="0" indent="0" justifyLastLine="false" shrinkToFit="false"/>
    </xf>
    <xf numFmtId="0" fontId="3" fillId="4" borderId="7" xfId="0">
      <alignment horizontal="center" vertical="center" textRotation="0" indent="0" justifyLastLine="false" shrinkToFit="false"/>
    </xf>
    <xf numFmtId="0" fontId="3" fillId="5" borderId="2" xfId="0">
      <alignment horizontal="center" vertical="center" textRotation="0" indent="0" justifyLastLine="false" shrinkToFit="false"/>
    </xf>
    <xf numFmtId="0" fontId="0" fillId="0" borderId="1" xfId="0">
      <alignment horizontal="center" vertical="center" textRotation="0" indent="0" justifyLastLine="false" shrinkToFit="false"/>
    </xf>
    <xf numFmtId="0" fontId="0" fillId="0" borderId="2" xfId="0">
      <alignment horizontal="center" vertical="center" textRotation="0" indent="0" justifyLastLine="false" shrinkToFit="false"/>
    </xf>
    <xf numFmtId="0" fontId="0" fillId="0" borderId="1" xfId="0">
      <alignment horizontal="center" vertical="bottom" textRotation="0" wrapText="true" indent="0" justifyLastLine="false" shrinkToFit="false"/>
    </xf>
    <xf numFmtId="302" fontId="0" fillId="0" borderId="1" xfId="0">
      <alignment horizontal="center" vertical="bottom" textRotation="0" wrapText="true" indent="0" justifyLastLine="false" shrinkToFit="false"/>
    </xf>
    <xf numFmtId="0" fontId="5" fillId="0" borderId="2" xfId="0">
      <alignment vertical="center" textRotation="0" wrapText="true" indent="0" justifyLastLine="false" shrinkToFit="false"/>
    </xf>
    <xf numFmtId="0" fontId="0" fillId="0" borderId="2" xfId="0">
      <alignment horizontal="center" vertical="bottom" textRotation="0" wrapText="true" indent="0" justifyLastLine="false" shrinkToFit="false"/>
    </xf>
    <xf numFmtId="302" fontId="0" fillId="0" borderId="1" xfId="0">
      <alignment horizontal="center" vertical="center" textRotation="0" wrapText="true" indent="0" justifyLastLine="false" shrinkToFit="false"/>
    </xf>
    <xf numFmtId="0" fontId="3" fillId="5" borderId="12" xfId="0">
      <alignment horizontal="center" vertical="center" textRotation="0" indent="0" justifyLastLine="false" shrinkToFit="false"/>
    </xf>
    <xf numFmtId="0" fontId="0" fillId="0" borderId="4" xfId="0">
      <alignment vertical="center" textRotation="0" indent="0" justifyLastLine="false" shrinkToFit="false"/>
    </xf>
    <xf numFmtId="301" fontId="0" fillId="0" borderId="4" xfId="0">
      <alignment horizontal="center" vertical="center" textRotation="0" indent="0" justifyLastLine="false" shrinkToFit="false"/>
    </xf>
    <xf fontId="0" fillId="0" borderId="4" xfId="0">
      <alignment vertical="center"/>
    </xf>
    <xf fontId="0" fillId="0" borderId="0" xfId="0">
      <alignment horizontal="center" vertical="center"/>
    </xf>
    <xf numFmtId="0" fontId="6" fillId="3" borderId="1" xfId="0">
      <alignment horizontal="center" vertical="center" textRotation="0" indent="0" justifyLastLine="false" shrinkToFit="false"/>
    </xf>
    <xf numFmtId="0" fontId="6" fillId="3" borderId="3" xfId="0">
      <alignment horizontal="center" vertical="center" textRotation="0" indent="0" justifyLastLine="false" shrinkToFit="false"/>
    </xf>
    <xf numFmtId="301" fontId="0" fillId="0" borderId="1" xfId="0">
      <alignment horizontal="center" vertical="center"/>
    </xf>
    <xf fontId="0" fillId="0" borderId="1" xfId="0">
      <alignment horizontal="center" vertical="center"/>
    </xf>
    <xf numFmtId="303" fontId="0" fillId="0" borderId="1" xfId="0">
      <alignment horizontal="center" vertical="center" textRotation="0" indent="0" justifyLastLine="false" shrinkToFit="false"/>
    </xf>
    <xf numFmtId="303" fontId="0" fillId="6" borderId="1" xfId="0">
      <alignment horizontal="center" vertical="center" textRotation="0" indent="0" justifyLastLine="false" shrinkToFit="false"/>
    </xf>
    <xf numFmtId="300" fontId="8" fillId="0" borderId="1" xfId="0">
      <alignment horizontal="left" vertical="center" textRotation="0" indent="0" justifyLastLine="false" shrinkToFit="false"/>
    </xf>
    <xf numFmtId="303" fontId="0" fillId="0" borderId="1" xfId="0">
      <alignment horizontal="center" vertical="center"/>
    </xf>
    <xf fontId="0" fillId="0" borderId="4" xfId="0">
      <alignment horizontal="center" vertical="center" textRotation="0"/>
    </xf>
    <xf numFmtId="301" fontId="0" fillId="0" borderId="16" xfId="0">
      <alignment horizontal="center" vertical="center" textRotation="0" indent="0" justifyLastLine="false" shrinkToFit="false"/>
    </xf>
    <xf numFmtId="301" fontId="0" fillId="6" borderId="4" xfId="0">
      <alignment horizontal="center" vertical="center" textRotation="0" indent="0" justifyLastLine="false" shrinkToFit="false"/>
    </xf>
    <xf numFmtId="303" fontId="0" fillId="0" borderId="4" xfId="0">
      <alignment horizontal="center" vertical="center" textRotation="0"/>
    </xf>
    <xf numFmtId="303" fontId="0" fillId="0" borderId="4" xfId="0">
      <alignment horizontal="center" vertical="center" textRotation="0" indent="0" justifyLastLine="false" shrinkToFit="false"/>
    </xf>
    <xf numFmtId="303" fontId="0" fillId="6" borderId="4" xfId="0">
      <alignment horizontal="center" vertical="center" textRotation="0" indent="0" justifyLastLine="false" shrinkToFit="false"/>
    </xf>
    <xf numFmtId="303" fontId="0" fillId="0" borderId="1" xfId="0">
      <alignment horizontal="center" vertical="center" textRotation="0"/>
    </xf>
    <xf numFmtId="301" fontId="0" fillId="6" borderId="12" xfId="0">
      <alignment horizontal="center" vertical="center" textRotation="0" indent="0" justifyLastLine="false" shrinkToFit="false"/>
    </xf>
    <xf numFmtId="301" fontId="0" fillId="0" borderId="1" xfId="0">
      <alignment horizontal="center" vertical="bottom" textRotation="0" indent="0" justifyLastLine="false" shrinkToFit="false"/>
    </xf>
    <xf numFmtId="301" fontId="0" fillId="6" borderId="12" xfId="0">
      <alignment horizontal="center" vertical="bottom" textRotation="0" indent="0" justifyLastLine="false" shrinkToFit="false"/>
    </xf>
    <xf numFmtId="301" fontId="0" fillId="6" borderId="1" xfId="0">
      <alignment horizontal="center" vertical="bottom" textRotation="0" indent="0" justifyLastLine="false" shrinkToFit="false"/>
    </xf>
    <xf numFmtId="302" fontId="0" fillId="0" borderId="1" xfId="0">
      <alignment horizontal="center" vertical="bottom" textRotation="0" indent="0" justifyLastLine="false" shrinkToFit="false"/>
    </xf>
    <xf numFmtId="302" fontId="0" fillId="6" borderId="1" xfId="0">
      <alignment horizontal="center" vertical="bottom" textRotation="0" indent="0" justifyLastLine="false" shrinkToFit="false"/>
    </xf>
    <xf fontId="0" fillId="0" borderId="2" xfId="0">
      <alignment horizontal="center" vertical="center"/>
    </xf>
    <xf numFmtId="301" fontId="0" fillId="6" borderId="2" xfId="0">
      <alignment horizontal="center" vertical="center" textRotation="0" indent="0" justifyLastLine="false" shrinkToFit="false"/>
    </xf>
    <xf numFmtId="303" fontId="0" fillId="0" borderId="2" xfId="0">
      <alignment horizontal="center" vertical="center"/>
    </xf>
    <xf numFmtId="303" fontId="0" fillId="0" borderId="2" xfId="0">
      <alignment horizontal="center" vertical="center" textRotation="0" indent="0" justifyLastLine="false" shrinkToFit="false"/>
    </xf>
    <xf numFmtId="303" fontId="0" fillId="6" borderId="2" xfId="0">
      <alignment horizontal="center" vertical="center" textRotation="0" indent="0" justifyLastLine="false" shrinkToFit="false"/>
    </xf>
    <xf numFmtId="301" fontId="0" fillId="6" borderId="1" xfId="0">
      <alignment horizontal="center" vertical="center" textRotation="0" wrapText="true" indent="0" justifyLastLine="false" shrinkToFit="false"/>
    </xf>
    <xf numFmtId="303" fontId="0" fillId="0" borderId="3" xfId="0">
      <alignment horizontal="center" vertical="center"/>
    </xf>
    <xf numFmtId="302" fontId="0" fillId="6" borderId="1" xfId="0">
      <alignment horizontal="center" vertical="center" textRotation="0" wrapText="true" indent="0" justifyLastLine="false" shrinkToFit="false"/>
    </xf>
    <xf fontId="0" fillId="0" borderId="4" xfId="0">
      <alignment horizontal="center" vertical="center"/>
    </xf>
    <xf fontId="0" fillId="0" borderId="16" xfId="0">
      <alignment horizontal="center" vertical="center"/>
    </xf>
    <xf numFmtId="303" fontId="0" fillId="0" borderId="4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8" Type="http://schemas.openxmlformats.org/officeDocument/2006/relationships/worksheet" Target="worksheets/sheet6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更新"/>
  <dimension ref="D19"/>
  <sheetViews>
    <sheetView showGridLines="true" workbookViewId="0"/>
  </sheetViews>
  <cols>
    <col min="1" max="1" width="13.7109" customWidth="true"/>
    <col min="2" max="2" width="19.4219" customWidth="true"/>
    <col min="3" max="3" width="60.8516" customWidth="true"/>
    <col min="4" max="4" width="52.2109" customWidth="true"/>
  </cols>
  <sheetData>
    <row r="1" spans="1:4">
      <c r="A1" s="4" t="s">
        <v>1</v>
      </c>
      <c r="B1" s="4" t="s">
        <v>2</v>
      </c>
      <c r="C1" s="4" t="s">
        <v>3</v>
      </c>
      <c r="D1" s="4" t="s">
        <v>4</v>
      </c>
    </row>
    <row r="2" spans="1:4">
      <c r="A2" s="5" t="s">
        <v>5</v>
      </c>
      <c r="B2" s="5" t="s">
        <v>6</v>
      </c>
      <c r="C2" s="6" t="s">
        <v>7</v>
      </c>
      <c r="D2" s="7" t="s"/>
    </row>
    <row r="3" spans="1:4">
      <c r="A3" s="5" t="s">
        <v>8</v>
      </c>
      <c r="B3" s="5" t="s">
        <v>9</v>
      </c>
      <c r="C3" s="6" t="s">
        <v>10</v>
      </c>
      <c r="D3" s="7" t="s"/>
    </row>
    <row r="4" spans="1:4">
      <c r="A4" s="5" t="s">
        <v>11</v>
      </c>
      <c r="B4" s="5" t="s">
        <v>12</v>
      </c>
      <c r="C4" s="6" t="s">
        <v>13</v>
      </c>
      <c r="D4" s="7" t="s"/>
    </row>
    <row r="5" spans="1:4">
      <c r="A5" s="5" t="s">
        <v>14</v>
      </c>
      <c r="B5" s="5" t="s">
        <v>6</v>
      </c>
      <c r="C5" s="6" t="s">
        <v>15</v>
      </c>
      <c r="D5" s="7" t="s"/>
    </row>
    <row r="6" spans="1:4">
      <c r="A6" s="5" t="s">
        <v>16</v>
      </c>
      <c r="B6" s="5" t="s">
        <v>17</v>
      </c>
      <c r="C6" s="6" t="s">
        <v>18</v>
      </c>
      <c r="D6" s="7" t="s"/>
    </row>
    <row r="7" spans="1:4">
      <c r="A7" s="5" t="s">
        <v>16</v>
      </c>
      <c r="B7" s="5" t="s">
        <v>6</v>
      </c>
      <c r="C7" s="6" t="s">
        <v>19</v>
      </c>
      <c r="D7" s="7" t="s"/>
    </row>
    <row r="8" spans="1:4">
      <c r="A8" s="5" t="s">
        <v>20</v>
      </c>
      <c r="B8" s="5" t="s">
        <v>12</v>
      </c>
      <c r="C8" s="6" t="s">
        <v>21</v>
      </c>
      <c r="D8" s="7" t="s"/>
    </row>
    <row r="9" spans="1:4">
      <c r="A9" s="5" t="s">
        <v>22</v>
      </c>
      <c r="B9" s="5" t="s">
        <v>6</v>
      </c>
      <c r="C9" s="6" t="s">
        <v>23</v>
      </c>
      <c r="D9" s="5" t="s">
        <v>24</v>
      </c>
    </row>
    <row r="10" spans="1:4">
      <c r="A10" s="5" t="s">
        <v>25</v>
      </c>
      <c r="B10" s="5" t="s">
        <v>26</v>
      </c>
      <c r="C10" s="6" t="s">
        <v>27</v>
      </c>
      <c r="D10" s="7" t="s"/>
    </row>
    <row r="11" spans="1:4">
      <c r="A11" s="5" t="s">
        <v>25</v>
      </c>
      <c r="B11" s="5" t="s">
        <v>12</v>
      </c>
      <c r="C11" s="6" t="s">
        <v>28</v>
      </c>
      <c r="D11" s="7" t="s"/>
    </row>
    <row r="12" spans="1:4">
      <c r="A12" s="5" t="s">
        <v>29</v>
      </c>
      <c r="B12" s="5" t="s">
        <v>30</v>
      </c>
      <c r="C12" s="6" t="s">
        <v>31</v>
      </c>
      <c r="D12" s="7" t="s"/>
    </row>
    <row r="13" spans="1:4">
      <c r="A13" s="5" t="s">
        <v>29</v>
      </c>
      <c r="B13" s="5" t="s">
        <v>6</v>
      </c>
      <c r="C13" s="6" t="s">
        <v>32</v>
      </c>
      <c r="D13" s="5" t="s">
        <v>33</v>
      </c>
    </row>
    <row r="14" spans="1:4">
      <c r="A14" s="5" t="s">
        <v>29</v>
      </c>
      <c r="B14" s="5" t="s">
        <v>6</v>
      </c>
      <c r="C14" s="6" t="s">
        <v>34</v>
      </c>
      <c r="D14" s="7" t="s"/>
    </row>
    <row r="15" spans="1:4">
      <c r="A15" s="5" t="s">
        <v>35</v>
      </c>
      <c r="B15" s="5" t="s">
        <v>26</v>
      </c>
      <c r="C15" s="6" t="s">
        <v>36</v>
      </c>
      <c r="D15" s="7" t="s"/>
    </row>
    <row r="16" spans="1:4">
      <c r="A16" s="5" t="s">
        <v>35</v>
      </c>
      <c r="B16" s="5" t="s">
        <v>12</v>
      </c>
      <c r="C16" s="8" t="s">
        <v>37</v>
      </c>
      <c r="D16" s="7" t="s"/>
    </row>
    <row r="17" spans="1:4">
      <c r="A17" s="5" t="s">
        <v>38</v>
      </c>
      <c r="B17" s="5" t="s">
        <v>6</v>
      </c>
      <c r="C17" s="9" t="s">
        <v>39</v>
      </c>
      <c r="D17" s="5" t="s">
        <v>40</v>
      </c>
    </row>
    <row r="18" spans="1:4">
      <c r="A18" s="5" t="s">
        <v>41</v>
      </c>
      <c r="B18" s="5" t="s">
        <v>6</v>
      </c>
      <c r="C18" s="5" t="s">
        <v>42</v>
      </c>
      <c r="D18" s="7" t="s"/>
    </row>
    <row r="19" spans="1:4">
      <c r="A19" s="5" t="s">
        <v>43</v>
      </c>
      <c r="B19" s="5" t="s">
        <v>6</v>
      </c>
      <c r="C19" s="5" t="s">
        <v>44</v>
      </c>
      <c r="D19" s="5" t="s">
        <v>45</v>
      </c>
    </row>
  </sheetData>
</worksheet>
</file>

<file path=xl/worksheets/sheet2.xml><?xml version="1.0" encoding="utf-8"?>
<worksheet xmlns="http://schemas.openxmlformats.org/spreadsheetml/2006/main">
  <sheetPr codeName="AIGC生视频">
    <tabColor/>
  </sheetPr>
  <dimension ref="M62"/>
  <sheetViews>
    <sheetView showGridLines="true" workbookViewId="0"/>
  </sheetViews>
  <sheetFormatPr baseColWidth="13" defaultRowHeight="18" customHeight="true"/>
  <cols>
    <col min="1" max="1" width="13.7109" customWidth="true"/>
    <col min="2" max="2" width="23.7109" customWidth="true"/>
    <col min="3" max="3" width="31.7109" customWidth="true"/>
    <col min="4" max="4" width="13.7109" customWidth="true"/>
    <col min="5" max="6" width="13.7109" customWidth="true"/>
    <col min="7" max="7" width="13.7109" customWidth="true"/>
    <col min="8" max="8" width="12.7109" customWidth="true"/>
    <col min="9" max="13" width="13.7109" customWidth="true"/>
  </cols>
  <sheetData>
    <row r="1" spans="1:13">
      <c r="A1" s="107" t="s">
        <v>214</v>
      </c>
      <c r="B1" s="12" t="s"/>
      <c r="C1" s="12" t="s"/>
      <c r="D1" s="108" t="s">
        <v>215</v>
      </c>
      <c r="E1" s="90" t="s"/>
      <c r="F1" s="90" t="s"/>
      <c r="G1" s="90" t="s"/>
      <c r="H1" s="90" t="s"/>
      <c r="I1" s="90" t="s"/>
      <c r="J1" s="90" t="s"/>
      <c r="K1" s="90" t="s"/>
      <c r="L1" s="90" t="s"/>
      <c r="M1" s="90" t="s"/>
    </row>
    <row r="2" spans="1:13">
      <c r="A2" s="47" t="s">
        <v>216</v>
      </c>
      <c r="B2" s="12" t="s"/>
      <c r="C2" s="12" t="s"/>
      <c r="D2" s="48" t="s">
        <v>150</v>
      </c>
      <c r="E2" s="12" t="s"/>
      <c r="F2" s="12" t="s"/>
      <c r="G2" s="12" t="s"/>
      <c r="H2" s="12" t="s"/>
      <c r="I2" s="49" t="s">
        <v>151</v>
      </c>
      <c r="J2" s="12" t="s"/>
      <c r="K2" s="12" t="s"/>
      <c r="L2" s="12" t="s"/>
      <c r="M2" s="12" t="s"/>
    </row>
    <row r="3" spans="1:13">
      <c r="A3" s="4" t="s">
        <v>50</v>
      </c>
      <c r="B3" s="4" t="s">
        <v>51</v>
      </c>
      <c r="C3" s="4" t="s">
        <v>52</v>
      </c>
      <c r="D3" s="48" t="s">
        <v>217</v>
      </c>
      <c r="E3" s="48" t="s">
        <v>218</v>
      </c>
      <c r="F3" s="48" t="s">
        <v>155</v>
      </c>
      <c r="G3" s="48" t="s">
        <v>55</v>
      </c>
      <c r="H3" s="48" t="s">
        <v>56</v>
      </c>
      <c r="I3" s="49" t="s">
        <v>217</v>
      </c>
      <c r="J3" s="49" t="s">
        <v>218</v>
      </c>
      <c r="K3" s="49" t="s">
        <v>155</v>
      </c>
      <c r="L3" s="49" t="s">
        <v>55</v>
      </c>
      <c r="M3" s="49" t="s">
        <v>56</v>
      </c>
    </row>
    <row r="4" spans="1:13">
      <c r="A4" s="5" t="s">
        <v>58</v>
      </c>
      <c r="B4" s="23">
        <v>1.5</v>
      </c>
      <c r="C4" s="5" t="s">
        <v>59</v>
      </c>
      <c r="D4" s="109" t="s"/>
      <c r="E4" s="18">
        <v>0.3</v>
      </c>
      <c r="F4" s="18">
        <v>0.5</v>
      </c>
      <c r="G4" s="19">
        <v>0.75</v>
      </c>
      <c r="H4" s="19">
        <v>1.12</v>
      </c>
      <c r="I4" s="25" t="s"/>
      <c r="J4" s="20" t="s">
        <v>59</v>
      </c>
      <c r="K4" s="20" t="s">
        <v>59</v>
      </c>
      <c r="L4" s="20" t="s">
        <v>59</v>
      </c>
      <c r="M4" s="20" t="s">
        <v>59</v>
      </c>
    </row>
    <row r="5" spans="1:13">
      <c r="A5" s="58" t="s">
        <v>76</v>
      </c>
      <c r="B5" s="84" t="s">
        <v>296</v>
      </c>
      <c r="C5" s="5" t="s">
        <v>219</v>
      </c>
      <c r="D5" s="109" t="s"/>
      <c r="E5" s="18" t="s"/>
      <c r="F5" s="18">
        <v>0.875</v>
      </c>
      <c r="G5" s="19">
        <v>1.05</v>
      </c>
      <c r="H5" s="19">
        <v>1.26</v>
      </c>
      <c r="I5" s="25" t="s"/>
      <c r="J5" s="20" t="s"/>
      <c r="K5" s="20">
        <v>0.14</v>
      </c>
      <c r="L5" s="38">
        <v>0.168</v>
      </c>
      <c r="M5" s="38">
        <v>0.2015</v>
      </c>
    </row>
    <row r="6" spans="1:13">
      <c r="A6" s="86" t="s"/>
      <c r="B6" s="5" t="s">
        <v>220</v>
      </c>
      <c r="C6" s="5" t="s">
        <v>219</v>
      </c>
      <c r="D6" s="109" t="s"/>
      <c r="E6" s="18">
        <f>=ROUNDUP(25*0.03125,3)</f>
        <v>0.782</v>
      </c>
      <c r="F6" s="18">
        <f>=ROUNDUP(30*0.03125,3)</f>
        <v>0.938</v>
      </c>
      <c r="G6" s="19">
        <f>=ROUNDUP(F6*1.2,3)</f>
        <v>1.126</v>
      </c>
      <c r="H6" s="19">
        <f>=ROUNDUP(G6*1.2,3)</f>
        <v>1.352</v>
      </c>
      <c r="I6" s="25" t="s"/>
      <c r="J6" s="20">
        <v>0.125</v>
      </c>
      <c r="K6" s="20">
        <v>0.15</v>
      </c>
      <c r="L6" s="38">
        <f>=K6*1.2</f>
        <v>0.18</v>
      </c>
      <c r="M6" s="38">
        <f>=L6*1.2</f>
        <v>0.216</v>
      </c>
    </row>
    <row r="7" spans="1:13">
      <c r="A7" s="86" t="s"/>
      <c r="B7" s="5" t="s">
        <v>221</v>
      </c>
      <c r="C7" s="5" t="s">
        <v>219</v>
      </c>
      <c r="D7" s="18">
        <f>=10*0.03125</f>
        <v>0.3125</v>
      </c>
      <c r="E7" s="18">
        <f>=20*0.03125</f>
        <v>0.625</v>
      </c>
      <c r="F7" s="18">
        <f>=ROUNDUP(25*0.03125,3)</f>
        <v>0.782</v>
      </c>
      <c r="G7" s="19">
        <f>=ROUNDUP(F7*1.2,3)</f>
        <v>0.939</v>
      </c>
      <c r="H7" s="19">
        <f>=ROUNDUP(G7*1.2,3)</f>
        <v>1.127</v>
      </c>
      <c r="I7" s="20">
        <v>0.05</v>
      </c>
      <c r="J7" s="20">
        <v>0.1</v>
      </c>
      <c r="K7" s="20">
        <v>0.125</v>
      </c>
      <c r="L7" s="38">
        <f>=K7*1.2</f>
        <v>0.15</v>
      </c>
      <c r="M7" s="38">
        <f>=L7*1.2</f>
        <v>0.18</v>
      </c>
    </row>
    <row r="8" spans="1:13">
      <c r="A8" s="86" t="s"/>
      <c r="B8" s="12" t="s"/>
      <c r="C8" s="5" t="s">
        <v>222</v>
      </c>
      <c r="D8" s="18">
        <f>=ROUNDUP(D7/2,3)</f>
        <v>0.157</v>
      </c>
      <c r="E8" s="18">
        <f>=ROUNDUP(E7/2,3)</f>
        <v>0.313</v>
      </c>
      <c r="F8" s="18">
        <f>=ROUNDUP(F7/2,3)</f>
        <v>0.391</v>
      </c>
      <c r="G8" s="19">
        <f>=ROUNDUP(G7/2,3)</f>
        <v>0.47</v>
      </c>
      <c r="H8" s="19">
        <f>=ROUNDUP(H7/2,3)</f>
        <v>0.564</v>
      </c>
      <c r="I8" s="20">
        <f>=ROUNDUP(I7/2,3)</f>
        <v>0.025</v>
      </c>
      <c r="J8" s="20">
        <f>=ROUNDUP(J7/2,3)</f>
        <v>0.05</v>
      </c>
      <c r="K8" s="20">
        <f>=ROUNDUP(K7/2,3)</f>
        <v>0.063</v>
      </c>
      <c r="L8" s="38">
        <f>=ROUNDUP(L7/2,3)</f>
        <v>0.075</v>
      </c>
      <c r="M8" s="38">
        <f>=ROUNDUP(M7/2,3)</f>
        <v>0.09</v>
      </c>
    </row>
    <row r="9" spans="1:13">
      <c r="A9" s="86" t="s"/>
      <c r="B9" s="5" t="s">
        <v>223</v>
      </c>
      <c r="C9" s="5" t="s">
        <v>224</v>
      </c>
      <c r="D9" s="18">
        <f>=ROUNDUP(10*0.03125,3)</f>
        <v>0.313</v>
      </c>
      <c r="E9" s="18">
        <f>=ROUNDUP(25*0.03125,3)</f>
        <v>0.782</v>
      </c>
      <c r="F9" s="18">
        <f>=ROUNDUP(30*0.03125,3)</f>
        <v>0.938</v>
      </c>
      <c r="G9" s="19">
        <f>=F9*1.2</f>
        <v>1.1256</v>
      </c>
      <c r="H9" s="19">
        <f>=G9*1.2</f>
        <v>1.35072</v>
      </c>
      <c r="I9" s="20">
        <v>0.05</v>
      </c>
      <c r="J9" s="20">
        <v>0.125</v>
      </c>
      <c r="K9" s="20">
        <v>0.15</v>
      </c>
      <c r="L9" s="38">
        <f>=K9*1.2</f>
        <v>0.18</v>
      </c>
      <c r="M9" s="38">
        <f>=L9*1.2</f>
        <v>0.216</v>
      </c>
    </row>
    <row r="10" spans="1:13">
      <c r="A10" s="86" t="s"/>
      <c r="B10" s="12" t="s"/>
      <c r="C10" s="5" t="s">
        <v>225</v>
      </c>
      <c r="D10" s="18">
        <f>=ROUNDUP(D9/2,3)</f>
        <v>0.157</v>
      </c>
      <c r="E10" s="18">
        <f>=ROUNDUP(E9/2,3)</f>
        <v>0.391</v>
      </c>
      <c r="F10" s="18">
        <f>=ROUNDUP(F9/2,3)</f>
        <v>0.469</v>
      </c>
      <c r="G10" s="19">
        <f>=ROUNDUP(G9/2,3)</f>
        <v>0.563</v>
      </c>
      <c r="H10" s="19">
        <f>=ROUNDUP(H9/2,3)</f>
        <v>0.676</v>
      </c>
      <c r="I10" s="20">
        <f>=I9/2</f>
        <v>0.025</v>
      </c>
      <c r="J10" s="20">
        <f>=J9/2</f>
        <v>0.0625</v>
      </c>
      <c r="K10" s="20">
        <f>=K9/2</f>
        <v>0.075</v>
      </c>
      <c r="L10" s="38">
        <f>=L9/2</f>
        <v>0.09</v>
      </c>
      <c r="M10" s="38">
        <f>=M9/2</f>
        <v>0.108</v>
      </c>
    </row>
    <row r="11" spans="1:13">
      <c r="A11" s="86" t="s"/>
      <c r="B11" s="5" t="s">
        <v>226</v>
      </c>
      <c r="C11" s="5" t="s">
        <v>224</v>
      </c>
      <c r="D11" s="18">
        <f>=ROUNDUP(8*0.03125,3)</f>
        <v>0.25</v>
      </c>
      <c r="E11" s="18">
        <f>=ROUNDUP(12*0.03125,3)</f>
        <v>0.375</v>
      </c>
      <c r="F11" s="18">
        <f>=ROUNDUP(14*0.03125,3)</f>
        <v>0.438</v>
      </c>
      <c r="G11" s="19">
        <f>=F11*1.2</f>
        <v>0.5256</v>
      </c>
      <c r="H11" s="19">
        <f>=G11*1.2</f>
        <v>0.63072</v>
      </c>
      <c r="I11" s="20">
        <v>0.04</v>
      </c>
      <c r="J11" s="20">
        <v>0.06</v>
      </c>
      <c r="K11" s="20">
        <v>0.07</v>
      </c>
      <c r="L11" s="38">
        <f>=K11*1.2</f>
        <v>0.084</v>
      </c>
      <c r="M11" s="38">
        <f>=L11*1.2</f>
        <v>0.1008</v>
      </c>
    </row>
    <row r="12" spans="1:13">
      <c r="A12" s="86" t="s"/>
      <c r="B12" s="12" t="s"/>
      <c r="C12" s="5" t="s">
        <v>227</v>
      </c>
      <c r="D12" s="18">
        <f>=ROUNDUP(D11/2,3)</f>
        <v>0.125</v>
      </c>
      <c r="E12" s="18">
        <f>=ROUNDUP(E11/2,3)</f>
        <v>0.188</v>
      </c>
      <c r="F12" s="18">
        <f>=ROUNDUP(F11/2,3)</f>
        <v>0.219</v>
      </c>
      <c r="G12" s="19">
        <f>=ROUNDUP(G11/2,3)</f>
        <v>0.263</v>
      </c>
      <c r="H12" s="19">
        <f>=ROUNDUP(H11/2,3)</f>
        <v>0.316</v>
      </c>
      <c r="I12" s="20">
        <f>=I11/2</f>
        <v>0.02</v>
      </c>
      <c r="J12" s="20">
        <f>=J11/2</f>
        <v>0.03</v>
      </c>
      <c r="K12" s="20">
        <f>=K11/2</f>
        <v>0.035</v>
      </c>
      <c r="L12" s="38">
        <f>=L11/2</f>
        <v>0.042</v>
      </c>
      <c r="M12" s="38">
        <f>=M11/2</f>
        <v>0.0504</v>
      </c>
    </row>
    <row r="13" spans="1:13">
      <c r="A13" s="86" t="s"/>
      <c r="B13" s="5" t="s">
        <v>77</v>
      </c>
      <c r="C13" s="5" t="s">
        <v>228</v>
      </c>
      <c r="D13" s="110" t="s"/>
      <c r="E13" s="18">
        <v>0.32</v>
      </c>
      <c r="F13" s="18">
        <v>0.47</v>
      </c>
      <c r="G13" s="19">
        <v>0.7</v>
      </c>
      <c r="H13" s="19">
        <f>=G13*1.5</f>
        <v>1.05</v>
      </c>
      <c r="I13" s="25" t="s"/>
      <c r="J13" s="111">
        <f>=E13/6.5</f>
        <v>0.0492307692307692</v>
      </c>
      <c r="K13" s="111">
        <f>=F13/6.5</f>
        <v>0.0723076923076923</v>
      </c>
      <c r="L13" s="112">
        <f>=G13/6.5</f>
        <v>0.107692307692308</v>
      </c>
      <c r="M13" s="112">
        <f>=H13/6.5</f>
        <v>0.161538461538462</v>
      </c>
    </row>
    <row r="14" spans="1:13">
      <c r="A14" s="86" t="s"/>
      <c r="B14" s="12" t="s"/>
      <c r="C14" s="5" t="s">
        <v>229</v>
      </c>
      <c r="D14" s="110" t="s"/>
      <c r="E14" s="18">
        <f>=E13/2</f>
        <v>0.16</v>
      </c>
      <c r="F14" s="18">
        <f>=F13/2</f>
        <v>0.235</v>
      </c>
      <c r="G14" s="19">
        <f>=G13/2</f>
        <v>0.35</v>
      </c>
      <c r="H14" s="19">
        <f>=H13/2</f>
        <v>0.525</v>
      </c>
      <c r="I14" s="25" t="s"/>
      <c r="J14" s="111">
        <f>=E14/6.5</f>
        <v>0.0246153846153846</v>
      </c>
      <c r="K14" s="111">
        <f>=F14/6.5</f>
        <v>0.0361538461538462</v>
      </c>
      <c r="L14" s="112">
        <f>=G14/6.5</f>
        <v>0.0538461538461539</v>
      </c>
      <c r="M14" s="112">
        <f>=H14/6.5</f>
        <v>0.0807692307692308</v>
      </c>
    </row>
    <row r="15" spans="1:13">
      <c r="A15" s="86" t="s"/>
      <c r="B15" s="12" t="s"/>
      <c r="C15" s="5" t="s">
        <v>219</v>
      </c>
      <c r="D15" s="18">
        <v>0.24</v>
      </c>
      <c r="E15" s="18">
        <v>0.32</v>
      </c>
      <c r="F15" s="18">
        <v>0.82</v>
      </c>
      <c r="G15" s="19">
        <v>1.23</v>
      </c>
      <c r="H15" s="19">
        <v>1.845</v>
      </c>
      <c r="I15" s="20">
        <f>=D15/6.5</f>
        <v>0.0369230769230769</v>
      </c>
      <c r="J15" s="111">
        <f>=E15/6.5</f>
        <v>0.0492307692307692</v>
      </c>
      <c r="K15" s="111">
        <f>=F15/6.5</f>
        <v>0.126153846153846</v>
      </c>
      <c r="L15" s="112">
        <f>=G15/6.5</f>
        <v>0.189230769230769</v>
      </c>
      <c r="M15" s="112">
        <f>=H15/6.5</f>
        <v>0.283846153846154</v>
      </c>
    </row>
    <row r="16" spans="1:13">
      <c r="A16" s="86" t="s"/>
      <c r="B16" s="12" t="s"/>
      <c r="C16" s="5" t="s">
        <v>230</v>
      </c>
      <c r="D16" s="18">
        <f>=D15/2</f>
        <v>0.12</v>
      </c>
      <c r="E16" s="18">
        <f>=E15/2</f>
        <v>0.16</v>
      </c>
      <c r="F16" s="18">
        <f>=F15/2</f>
        <v>0.41</v>
      </c>
      <c r="G16" s="19">
        <f>=G15/2</f>
        <v>0.615</v>
      </c>
      <c r="H16" s="19">
        <f>=H15/2</f>
        <v>0.9225</v>
      </c>
      <c r="I16" s="20">
        <f>=D16/6.5</f>
        <v>0.0184615384615385</v>
      </c>
      <c r="J16" s="111">
        <f>=E16/6.5</f>
        <v>0.0246153846153846</v>
      </c>
      <c r="K16" s="111">
        <f>=F16/6.5</f>
        <v>0.0630769230769231</v>
      </c>
      <c r="L16" s="112">
        <f>=G16/6.5</f>
        <v>0.0946153846153846</v>
      </c>
      <c r="M16" s="112">
        <f>=H16/6.5</f>
        <v>0.141923076923077</v>
      </c>
    </row>
    <row r="17" spans="1:13">
      <c r="A17" s="86" t="s"/>
      <c r="B17" s="5" t="s">
        <v>231</v>
      </c>
      <c r="C17" s="5" t="s">
        <v>232</v>
      </c>
      <c r="D17" s="110" t="s"/>
      <c r="E17" s="18">
        <v>0.35</v>
      </c>
      <c r="F17" s="18">
        <v>0.7</v>
      </c>
      <c r="G17" s="19">
        <v>1</v>
      </c>
      <c r="H17" s="19">
        <f>=G17*1.5</f>
        <v>1.5</v>
      </c>
      <c r="I17" s="25" t="s"/>
      <c r="J17" s="111">
        <f>=E17/6.5</f>
        <v>0.0538461538461539</v>
      </c>
      <c r="K17" s="111">
        <f>=F17/6.5</f>
        <v>0.107692307692308</v>
      </c>
      <c r="L17" s="112">
        <f>=G17/6.5</f>
        <v>0.153846153846154</v>
      </c>
      <c r="M17" s="112">
        <f>=H17/6.5</f>
        <v>0.230769230769231</v>
      </c>
    </row>
    <row r="18" spans="1:13">
      <c r="A18" s="86" t="s"/>
      <c r="B18" s="12" t="s"/>
      <c r="C18" s="5" t="s">
        <v>233</v>
      </c>
      <c r="D18" s="110" t="s"/>
      <c r="E18" s="18">
        <f>=E17/2</f>
        <v>0.175</v>
      </c>
      <c r="F18" s="18">
        <f>=F17/2</f>
        <v>0.35</v>
      </c>
      <c r="G18" s="19">
        <f>=G17/2</f>
        <v>0.5</v>
      </c>
      <c r="H18" s="19">
        <f>=H17/2</f>
        <v>0.75</v>
      </c>
      <c r="I18" s="25" t="s"/>
      <c r="J18" s="111">
        <f>=E18/6.5</f>
        <v>0.0269230769230769</v>
      </c>
      <c r="K18" s="111">
        <f>=F18/6.5</f>
        <v>0.0538461538461539</v>
      </c>
      <c r="L18" s="112">
        <f>=G18/6.5</f>
        <v>0.0769230769230769</v>
      </c>
      <c r="M18" s="112">
        <f>=H18/6.5</f>
        <v>0.115384615384615</v>
      </c>
    </row>
    <row r="19" spans="1:13">
      <c r="A19" s="86" t="s"/>
      <c r="B19" s="12" t="s"/>
      <c r="C19" s="5" t="s">
        <v>219</v>
      </c>
      <c r="D19" s="18">
        <v>0.27</v>
      </c>
      <c r="E19" s="18">
        <v>0.35</v>
      </c>
      <c r="F19" s="18">
        <v>0.9</v>
      </c>
      <c r="G19" s="19">
        <f>=F19*1.5</f>
        <v>1.35</v>
      </c>
      <c r="H19" s="19">
        <f>=G19*1.5</f>
        <v>2.025</v>
      </c>
      <c r="I19" s="20">
        <f>=D19/6.5</f>
        <v>0.0415384615384615</v>
      </c>
      <c r="J19" s="111">
        <f>=E19/6.5</f>
        <v>0.0538461538461539</v>
      </c>
      <c r="K19" s="111">
        <f>=F19/6.5</f>
        <v>0.138461538461539</v>
      </c>
      <c r="L19" s="112">
        <f>=G19/6.5</f>
        <v>0.207692307692308</v>
      </c>
      <c r="M19" s="112">
        <f>=H19/6.5</f>
        <v>0.311538461538462</v>
      </c>
    </row>
    <row r="20" spans="1:13">
      <c r="A20" s="86" t="s"/>
      <c r="B20" s="12" t="s"/>
      <c r="C20" s="5" t="s">
        <v>222</v>
      </c>
      <c r="D20" s="18">
        <f>=D19/2</f>
        <v>0.135</v>
      </c>
      <c r="E20" s="18">
        <f>=E19/2</f>
        <v>0.175</v>
      </c>
      <c r="F20" s="18">
        <f>=F19/2</f>
        <v>0.45</v>
      </c>
      <c r="G20" s="19">
        <f>=G19/2</f>
        <v>0.675</v>
      </c>
      <c r="H20" s="19">
        <f>=H19/2</f>
        <v>1.0125</v>
      </c>
      <c r="I20" s="20">
        <f>=D20/6.5</f>
        <v>0.0207692307692308</v>
      </c>
      <c r="J20" s="111">
        <f>=E20/6.5</f>
        <v>0.0269230769230769</v>
      </c>
      <c r="K20" s="111">
        <f>=F20/6.5</f>
        <v>0.0692307692307693</v>
      </c>
      <c r="L20" s="112">
        <f>=G20/6.5</f>
        <v>0.103846153846154</v>
      </c>
      <c r="M20" s="112">
        <f>=H20/6.5</f>
        <v>0.155769230769231</v>
      </c>
    </row>
    <row r="21" spans="1:13">
      <c r="A21" s="86" t="s"/>
      <c r="B21" s="5" t="s">
        <v>234</v>
      </c>
      <c r="C21" s="5" t="s">
        <v>232</v>
      </c>
      <c r="D21" s="110" t="s"/>
      <c r="E21" s="18">
        <v>0.25</v>
      </c>
      <c r="F21" s="18">
        <v>0.47</v>
      </c>
      <c r="G21" s="19">
        <v>0.7</v>
      </c>
      <c r="H21" s="19">
        <f>=G21*1.5</f>
        <v>1.05</v>
      </c>
      <c r="I21" s="25" t="s"/>
      <c r="J21" s="111">
        <f>=E21/6.5</f>
        <v>0.0384615384615385</v>
      </c>
      <c r="K21" s="111">
        <f>=F21/6.5</f>
        <v>0.0723076923076923</v>
      </c>
      <c r="L21" s="112">
        <f>=G21/6.5</f>
        <v>0.107692307692308</v>
      </c>
      <c r="M21" s="112">
        <f>=H21/6.5</f>
        <v>0.161538461538462</v>
      </c>
    </row>
    <row r="22" spans="1:13">
      <c r="A22" s="88" t="s"/>
      <c r="B22" s="12" t="s"/>
      <c r="C22" s="5" t="s">
        <v>233</v>
      </c>
      <c r="D22" s="110" t="s"/>
      <c r="E22" s="18">
        <f>=E21/2</f>
        <v>0.125</v>
      </c>
      <c r="F22" s="18">
        <f>=F21/2</f>
        <v>0.235</v>
      </c>
      <c r="G22" s="19">
        <f>=G21/2</f>
        <v>0.35</v>
      </c>
      <c r="H22" s="19">
        <f>=H21/2</f>
        <v>0.525</v>
      </c>
      <c r="I22" s="25" t="s"/>
      <c r="J22" s="111">
        <f>=E22/6.5</f>
        <v>0.0192307692307692</v>
      </c>
      <c r="K22" s="111">
        <f>=F22/6.5</f>
        <v>0.0361538461538462</v>
      </c>
      <c r="L22" s="112">
        <f>=G22/6.5</f>
        <v>0.0538461538461539</v>
      </c>
      <c r="M22" s="112">
        <f>=H22/6.5</f>
        <v>0.0807692307692308</v>
      </c>
    </row>
    <row r="23" spans="1:13">
      <c r="A23" s="58" t="s">
        <v>81</v>
      </c>
      <c r="B23" s="113" t="s">
        <v>297</v>
      </c>
      <c r="C23" s="5" t="s"/>
      <c r="D23" s="110" t="s"/>
      <c r="E23" s="18">
        <v>0.8</v>
      </c>
      <c r="F23" s="18">
        <v>1</v>
      </c>
      <c r="G23" s="19">
        <v>1.2</v>
      </c>
      <c r="H23" s="19">
        <v>1.44</v>
      </c>
      <c r="I23" s="25" t="s"/>
      <c r="J23" s="111">
        <v>0.112</v>
      </c>
      <c r="K23" s="111">
        <v>0.14</v>
      </c>
      <c r="L23" s="112">
        <v>0.168</v>
      </c>
      <c r="M23" s="112">
        <v>0.2016</v>
      </c>
    </row>
    <row r="24" spans="1:13">
      <c r="A24" s="86" t="s"/>
      <c r="B24" s="16" t="s">
        <v>235</v>
      </c>
      <c r="C24" s="5" t="s">
        <v>236</v>
      </c>
      <c r="D24" s="110" t="s"/>
      <c r="E24" s="18">
        <v>0.6</v>
      </c>
      <c r="F24" s="18">
        <v>0.8</v>
      </c>
      <c r="G24" s="19">
        <v>1</v>
      </c>
      <c r="H24" s="18">
        <v>3</v>
      </c>
      <c r="I24" s="25" t="s"/>
      <c r="J24" s="111">
        <v>0.084</v>
      </c>
      <c r="K24" s="111">
        <v>0.112</v>
      </c>
      <c r="L24" s="112">
        <v>0.14</v>
      </c>
      <c r="M24" s="111">
        <v>0.42</v>
      </c>
    </row>
    <row r="25" spans="1:13">
      <c r="A25" s="86" t="s"/>
      <c r="B25" s="12" t="s"/>
      <c r="C25" s="5" t="s">
        <v>237</v>
      </c>
      <c r="D25" s="110" t="s"/>
      <c r="E25" s="18">
        <v>0.8</v>
      </c>
      <c r="F25" s="18">
        <v>1</v>
      </c>
      <c r="G25" s="19">
        <v>1.2</v>
      </c>
      <c r="H25" s="18">
        <v>3</v>
      </c>
      <c r="I25" s="25" t="s"/>
      <c r="J25" s="111">
        <v>0.112</v>
      </c>
      <c r="K25" s="111">
        <v>0.14</v>
      </c>
      <c r="L25" s="112">
        <v>0.168</v>
      </c>
      <c r="M25" s="111">
        <v>0.42</v>
      </c>
    </row>
    <row r="26" spans="1:13">
      <c r="A26" s="86" t="s"/>
      <c r="B26" s="12" t="s"/>
      <c r="C26" s="5" t="s">
        <v>238</v>
      </c>
      <c r="D26" s="110" t="s"/>
      <c r="E26" s="18">
        <v>0.9</v>
      </c>
      <c r="F26" s="18">
        <v>1.2</v>
      </c>
      <c r="G26" s="19">
        <v>1.5</v>
      </c>
      <c r="H26" s="19">
        <v>2</v>
      </c>
      <c r="I26" s="25" t="s"/>
      <c r="J26" s="111">
        <v>0.126</v>
      </c>
      <c r="K26" s="111">
        <v>0.168</v>
      </c>
      <c r="L26" s="112">
        <v>0.21</v>
      </c>
      <c r="M26" s="112">
        <v>0.28</v>
      </c>
    </row>
    <row r="27" spans="1:13">
      <c r="A27" s="86" t="s"/>
      <c r="B27" s="12" t="s"/>
      <c r="C27" s="5" t="s">
        <v>239</v>
      </c>
      <c r="D27" s="110" t="s"/>
      <c r="E27" s="18">
        <v>1.1</v>
      </c>
      <c r="F27" s="18">
        <v>1.4</v>
      </c>
      <c r="G27" s="19">
        <v>1.8</v>
      </c>
      <c r="H27" s="19">
        <v>2.4</v>
      </c>
      <c r="I27" s="25" t="s"/>
      <c r="J27" s="111">
        <v>0.154</v>
      </c>
      <c r="K27" s="111">
        <v>0.196</v>
      </c>
      <c r="L27" s="112">
        <v>0.252</v>
      </c>
      <c r="M27" s="112">
        <v>0.336</v>
      </c>
    </row>
    <row r="28" spans="1:13">
      <c r="A28" s="86" t="s"/>
      <c r="B28" s="16">
        <v>3</v>
      </c>
      <c r="C28" s="5" t="s">
        <v>240</v>
      </c>
      <c r="D28" s="110" t="s"/>
      <c r="E28" s="18">
        <v>0.6</v>
      </c>
      <c r="F28" s="18">
        <v>0.8</v>
      </c>
      <c r="G28" s="19">
        <v>1</v>
      </c>
      <c r="H28" s="18">
        <v>3</v>
      </c>
      <c r="I28" s="25" t="s"/>
      <c r="J28" s="111">
        <v>0.084</v>
      </c>
      <c r="K28" s="111">
        <v>0.112</v>
      </c>
      <c r="L28" s="112">
        <v>0.14</v>
      </c>
      <c r="M28" s="111">
        <v>0.42</v>
      </c>
    </row>
    <row r="29" spans="1:13">
      <c r="A29" s="86" t="s"/>
      <c r="B29" s="32" t="s"/>
      <c r="C29" s="5" t="s">
        <v>241</v>
      </c>
      <c r="D29" s="110" t="s"/>
      <c r="E29" s="18">
        <v>0.9</v>
      </c>
      <c r="F29" s="18">
        <v>1.2</v>
      </c>
      <c r="G29" s="19">
        <v>1.5</v>
      </c>
      <c r="H29" s="18">
        <v>3</v>
      </c>
      <c r="I29" s="25" t="s"/>
      <c r="J29" s="111">
        <v>0.126</v>
      </c>
      <c r="K29" s="111">
        <v>0.168</v>
      </c>
      <c r="L29" s="112">
        <v>0.21</v>
      </c>
      <c r="M29" s="111">
        <v>0.42</v>
      </c>
    </row>
    <row r="30" spans="1:13">
      <c r="A30" s="86" t="s"/>
      <c r="B30" s="32" t="s"/>
      <c r="C30" s="5" t="s">
        <v>242</v>
      </c>
      <c r="D30" s="110" t="s"/>
      <c r="E30" s="18">
        <v>1.1</v>
      </c>
      <c r="F30" s="18">
        <v>1.4</v>
      </c>
      <c r="G30" s="19">
        <v>1.8</v>
      </c>
      <c r="H30" s="19">
        <v>2.4</v>
      </c>
      <c r="I30" s="25" t="s"/>
      <c r="J30" s="111">
        <v>0.154</v>
      </c>
      <c r="K30" s="111">
        <v>0.196</v>
      </c>
      <c r="L30" s="112">
        <v>0.252</v>
      </c>
      <c r="M30" s="112">
        <v>0.336</v>
      </c>
    </row>
    <row r="31" spans="1:13">
      <c r="A31" s="86" t="s"/>
      <c r="B31" s="16" t="s">
        <v>243</v>
      </c>
      <c r="C31" s="5" t="s">
        <v>244</v>
      </c>
      <c r="D31" s="110" t="s"/>
      <c r="E31" s="18">
        <v>0.9</v>
      </c>
      <c r="F31" s="18">
        <v>1.2</v>
      </c>
      <c r="G31" s="19">
        <v>1.8</v>
      </c>
      <c r="H31" s="19">
        <v>2.7</v>
      </c>
      <c r="I31" s="25" t="s"/>
      <c r="J31" s="111">
        <v>0.126</v>
      </c>
      <c r="K31" s="111">
        <v>0.168</v>
      </c>
      <c r="L31" s="112">
        <v>0.252</v>
      </c>
      <c r="M31" s="112">
        <v>0.378</v>
      </c>
    </row>
    <row r="32" spans="1:13">
      <c r="A32" s="86" t="s"/>
      <c r="B32" s="16" t="s">
        <v>83</v>
      </c>
      <c r="C32" s="5" t="s">
        <v>245</v>
      </c>
      <c r="D32" s="110" t="s"/>
      <c r="E32" s="18">
        <v>0.6</v>
      </c>
      <c r="F32" s="18">
        <v>0.8</v>
      </c>
      <c r="G32" s="19">
        <f>=F32*1.5</f>
        <v>1.2</v>
      </c>
      <c r="H32" s="19">
        <f>=G32*1.5</f>
        <v>1.8</v>
      </c>
      <c r="I32" s="25" t="s"/>
      <c r="J32" s="111">
        <v>0.084</v>
      </c>
      <c r="K32" s="111">
        <v>0.112</v>
      </c>
      <c r="L32" s="112">
        <v>0.168</v>
      </c>
      <c r="M32" s="112">
        <v>0.252</v>
      </c>
    </row>
    <row r="33" spans="1:13">
      <c r="A33" s="86" t="s"/>
      <c r="B33" s="12" t="s"/>
      <c r="C33" s="5" t="s">
        <v>246</v>
      </c>
      <c r="D33" s="110" t="s"/>
      <c r="E33" s="18">
        <v>0.9</v>
      </c>
      <c r="F33" s="18">
        <v>1.2</v>
      </c>
      <c r="G33" s="19">
        <f>=F33*1.5</f>
        <v>1.8</v>
      </c>
      <c r="H33" s="19">
        <f>=G33*1.5</f>
        <v>2.7</v>
      </c>
      <c r="I33" s="25" t="s"/>
      <c r="J33" s="111">
        <v>0.126</v>
      </c>
      <c r="K33" s="111">
        <v>0.168</v>
      </c>
      <c r="L33" s="112">
        <v>0.252</v>
      </c>
      <c r="M33" s="112">
        <v>0.378</v>
      </c>
    </row>
    <row r="34" spans="1:13">
      <c r="A34" s="86" t="s"/>
      <c r="B34" s="23">
        <v>2.6</v>
      </c>
      <c r="C34" s="5" t="s">
        <v>240</v>
      </c>
      <c r="D34" s="110" t="s"/>
      <c r="E34" s="18">
        <v>0.3</v>
      </c>
      <c r="F34" s="18">
        <v>0.5</v>
      </c>
      <c r="G34" s="19">
        <f>=F34*1.5</f>
        <v>0.75</v>
      </c>
      <c r="H34" s="19">
        <v>1.12</v>
      </c>
      <c r="I34" s="25" t="s"/>
      <c r="J34" s="111">
        <v>0.042</v>
      </c>
      <c r="K34" s="111">
        <v>0.07</v>
      </c>
      <c r="L34" s="112">
        <v>0.105</v>
      </c>
      <c r="M34" s="112">
        <v>0.1568</v>
      </c>
    </row>
    <row r="35" spans="1:13">
      <c r="A35" s="86" t="s"/>
      <c r="B35" s="12" t="s"/>
      <c r="C35" s="5" t="s">
        <v>247</v>
      </c>
      <c r="D35" s="110" t="s"/>
      <c r="E35" s="109" t="s"/>
      <c r="F35" s="18">
        <v>1</v>
      </c>
      <c r="G35" s="19">
        <f>=F35*1.5</f>
        <v>1.5</v>
      </c>
      <c r="H35" s="19">
        <f>=G35*1.5</f>
        <v>2.25</v>
      </c>
      <c r="I35" s="25" t="s"/>
      <c r="J35" s="114" t="s"/>
      <c r="K35" s="111">
        <v>0.14</v>
      </c>
      <c r="L35" s="112">
        <v>0.21</v>
      </c>
      <c r="M35" s="112">
        <v>0.315</v>
      </c>
    </row>
    <row r="36" spans="1:13">
      <c r="A36" s="86" t="s"/>
      <c r="B36" s="5" t="s">
        <v>248</v>
      </c>
      <c r="C36" s="5" t="s">
        <v>249</v>
      </c>
      <c r="D36" s="110" t="s"/>
      <c r="E36" s="18">
        <v>0.5</v>
      </c>
      <c r="F36" s="18">
        <v>0.8</v>
      </c>
      <c r="G36" s="19">
        <v>1.2</v>
      </c>
      <c r="H36" s="19">
        <v>1.8</v>
      </c>
      <c r="I36" s="25" t="s"/>
      <c r="J36" s="111">
        <v>0.07</v>
      </c>
      <c r="K36" s="111">
        <v>0.112</v>
      </c>
      <c r="L36" s="112">
        <v>0.168</v>
      </c>
      <c r="M36" s="112">
        <v>0.252</v>
      </c>
    </row>
    <row r="37" spans="1:13">
      <c r="A37" s="86" t="s"/>
      <c r="B37" s="5" t="s">
        <v>250</v>
      </c>
      <c r="C37" s="5" t="s">
        <v>59</v>
      </c>
      <c r="D37" s="110" t="s"/>
      <c r="E37" s="18">
        <v>0.3</v>
      </c>
      <c r="F37" s="18">
        <v>0.5</v>
      </c>
      <c r="G37" s="19">
        <f>=F37*1.5</f>
        <v>0.75</v>
      </c>
      <c r="H37" s="19">
        <v>1.12</v>
      </c>
      <c r="I37" s="25" t="s"/>
      <c r="J37" s="111">
        <v>0.042</v>
      </c>
      <c r="K37" s="111">
        <v>0.07</v>
      </c>
      <c r="L37" s="112">
        <v>0.105</v>
      </c>
      <c r="M37" s="112">
        <v>0.157</v>
      </c>
    </row>
    <row r="38" spans="1:13">
      <c r="A38" s="86" t="s"/>
      <c r="B38" s="5" t="s">
        <v>251</v>
      </c>
      <c r="C38" s="5" t="s">
        <v>59</v>
      </c>
      <c r="D38" s="110" t="s"/>
      <c r="E38" s="18">
        <v>0.4</v>
      </c>
      <c r="F38" s="18">
        <v>0.7</v>
      </c>
      <c r="G38" s="19">
        <v>1</v>
      </c>
      <c r="H38" s="19">
        <f>=G38*1.5</f>
        <v>1.5</v>
      </c>
      <c r="I38" s="25" t="s"/>
      <c r="J38" s="111">
        <v>0.056</v>
      </c>
      <c r="K38" s="111">
        <v>0.098</v>
      </c>
      <c r="L38" s="112">
        <v>0.14</v>
      </c>
      <c r="M38" s="112">
        <v>0.21</v>
      </c>
    </row>
    <row r="39" spans="1:13">
      <c r="A39" s="86" t="s"/>
      <c r="B39" s="5" t="s">
        <v>252</v>
      </c>
      <c r="C39" s="5" t="s">
        <v>59</v>
      </c>
      <c r="D39" s="110" t="s"/>
      <c r="E39" s="18">
        <v>0.4</v>
      </c>
      <c r="F39" s="18">
        <v>0.8</v>
      </c>
      <c r="G39" s="19">
        <f>=F39*1.5</f>
        <v>1.2</v>
      </c>
      <c r="H39" s="19">
        <f>=G39*1.5</f>
        <v>1.8</v>
      </c>
      <c r="I39" s="25" t="s"/>
      <c r="J39" s="20">
        <v>0.056</v>
      </c>
      <c r="K39" s="20">
        <v>0.112</v>
      </c>
      <c r="L39" s="38">
        <v>0.168</v>
      </c>
      <c r="M39" s="38">
        <v>0.252</v>
      </c>
    </row>
    <row r="40" spans="1:13">
      <c r="A40" s="88" t="s"/>
      <c r="B40" s="5" t="s">
        <v>253</v>
      </c>
      <c r="C40" s="5" t="s">
        <v>254</v>
      </c>
      <c r="D40" s="110" t="s"/>
      <c r="E40" s="18">
        <v>0.1</v>
      </c>
      <c r="F40" s="32" t="s"/>
      <c r="G40" s="32" t="s"/>
      <c r="H40" s="32" t="s"/>
      <c r="I40" s="20">
        <v>0.014</v>
      </c>
      <c r="J40" s="32" t="s"/>
      <c r="K40" s="32" t="s"/>
      <c r="L40" s="32" t="s"/>
      <c r="M40" s="32" t="s"/>
    </row>
    <row r="41" spans="1:13">
      <c r="A41" s="51" t="s">
        <v>255</v>
      </c>
      <c r="B41" s="16">
        <v>1</v>
      </c>
      <c r="C41" s="63" t="s"/>
      <c r="D41" s="115" t="s"/>
      <c r="E41" s="116">
        <v>0.9</v>
      </c>
      <c r="F41" s="104">
        <v>1.6</v>
      </c>
      <c r="G41" s="117">
        <v>1.92</v>
      </c>
      <c r="H41" s="117">
        <v>2.304</v>
      </c>
      <c r="I41" s="118" t="s"/>
      <c r="J41" s="119">
        <v>0.1385</v>
      </c>
      <c r="K41" s="119">
        <v>0.2462</v>
      </c>
      <c r="L41" s="120">
        <v>0.2954</v>
      </c>
      <c r="M41" s="120">
        <v>0.3545</v>
      </c>
    </row>
    <row r="42" spans="1:13">
      <c r="A42" s="5" t="s">
        <v>256</v>
      </c>
      <c r="B42" s="5" t="s">
        <v>257</v>
      </c>
      <c r="C42" s="5" t="s">
        <v>240</v>
      </c>
      <c r="D42" s="18">
        <v>0.08</v>
      </c>
      <c r="E42" s="18">
        <v>0.172</v>
      </c>
      <c r="F42" s="18">
        <f>=1.94/5</f>
        <v>0.388</v>
      </c>
      <c r="G42" s="19">
        <v>0.691</v>
      </c>
      <c r="H42" s="19">
        <v>1.552</v>
      </c>
      <c r="I42" s="111">
        <f>=D42/6.5</f>
        <v>0.0123076923076923</v>
      </c>
      <c r="J42" s="111">
        <f>=E42/6.5</f>
        <v>0.0264615384615385</v>
      </c>
      <c r="K42" s="111">
        <f>=F42/6.5</f>
        <v>0.0596923076923077</v>
      </c>
      <c r="L42" s="112">
        <f>=G42/6.5</f>
        <v>0.106307692307692</v>
      </c>
      <c r="M42" s="112">
        <f>=H42/6.5</f>
        <v>0.238769230769231</v>
      </c>
    </row>
    <row r="43" spans="1:13">
      <c r="A43" s="12" t="s"/>
      <c r="B43" s="12" t="s"/>
      <c r="C43" s="5" t="s">
        <v>247</v>
      </c>
      <c r="D43" s="18">
        <v>0.16</v>
      </c>
      <c r="E43" s="18">
        <v>0.346</v>
      </c>
      <c r="F43" s="18">
        <f>=3.89/5</f>
        <v>0.778</v>
      </c>
      <c r="G43" s="19">
        <v>1.382</v>
      </c>
      <c r="H43" s="19">
        <v>3.11</v>
      </c>
      <c r="I43" s="111">
        <f>=D43/6.5</f>
        <v>0.0246153846153846</v>
      </c>
      <c r="J43" s="111">
        <f>=E43/6.5</f>
        <v>0.0532307692307692</v>
      </c>
      <c r="K43" s="111">
        <f>=F43/6.5</f>
        <v>0.119692307692308</v>
      </c>
      <c r="L43" s="112">
        <f>=G43/6.5</f>
        <v>0.212615384615385</v>
      </c>
      <c r="M43" s="112">
        <f>=H43/6.5</f>
        <v>0.478461538461539</v>
      </c>
    </row>
    <row r="44" spans="1:13">
      <c r="A44" s="12" t="s"/>
      <c r="B44" s="16" t="s">
        <v>258</v>
      </c>
      <c r="C44" s="5" t="s">
        <v>59</v>
      </c>
      <c r="D44" s="18">
        <v>0.146</v>
      </c>
      <c r="E44" s="18">
        <v>0.308</v>
      </c>
      <c r="F44" s="18">
        <v>0.734</v>
      </c>
      <c r="G44" s="19">
        <f>=F44*1.5</f>
        <v>1.101</v>
      </c>
      <c r="H44" s="19">
        <f>=G44*1.5</f>
        <v>1.6515</v>
      </c>
      <c r="I44" s="111">
        <f>=D44/6.5</f>
        <v>0.0224615384615385</v>
      </c>
      <c r="J44" s="111">
        <f>=E44/6.5</f>
        <v>0.0473846153846154</v>
      </c>
      <c r="K44" s="111">
        <f>=F44/6.5</f>
        <v>0.112923076923077</v>
      </c>
      <c r="L44" s="112">
        <f>=G44/6.5</f>
        <v>0.169384615384615</v>
      </c>
      <c r="M44" s="112">
        <f>=H44/6.5</f>
        <v>0.254076923076923</v>
      </c>
    </row>
    <row r="45" spans="1:13">
      <c r="A45" s="12" t="s"/>
      <c r="B45" s="5" t="s">
        <v>259</v>
      </c>
      <c r="C45" s="5" t="s">
        <v>59</v>
      </c>
      <c r="D45" s="18">
        <v>0.04</v>
      </c>
      <c r="E45" s="18">
        <v>0.086</v>
      </c>
      <c r="F45" s="18">
        <v>0.206</v>
      </c>
      <c r="G45" s="19">
        <f>=F45*1.5</f>
        <v>0.309</v>
      </c>
      <c r="H45" s="19">
        <f>=G45*1.5</f>
        <v>0.4635</v>
      </c>
      <c r="I45" s="111">
        <f>=D45/6.5</f>
        <v>0.00615384615384616</v>
      </c>
      <c r="J45" s="111">
        <f>=E45/6.5</f>
        <v>0.0132307692307692</v>
      </c>
      <c r="K45" s="111">
        <f>=F45/6.5</f>
        <v>0.0316923076923077</v>
      </c>
      <c r="L45" s="112">
        <f>=G45/6.5</f>
        <v>0.0475384615384615</v>
      </c>
      <c r="M45" s="112">
        <f>=H45/6.5</f>
        <v>0.0713076923076923</v>
      </c>
    </row>
    <row r="46" spans="1:13">
      <c r="A46" s="12" t="s"/>
      <c r="B46" s="16" t="s">
        <v>260</v>
      </c>
      <c r="C46" s="5" t="s">
        <v>59</v>
      </c>
      <c r="D46" s="18">
        <v>0.098</v>
      </c>
      <c r="E46" s="18">
        <v>0.206</v>
      </c>
      <c r="F46" s="18">
        <v>0.49</v>
      </c>
      <c r="G46" s="19">
        <f>=F46*1.5</f>
        <v>0.735</v>
      </c>
      <c r="H46" s="19">
        <f>=G46*1.5</f>
        <v>1.1025</v>
      </c>
      <c r="I46" s="111">
        <f>=D46/6.5</f>
        <v>0.0150769230769231</v>
      </c>
      <c r="J46" s="111">
        <f>=E46/6.5</f>
        <v>0.0316923076923077</v>
      </c>
      <c r="K46" s="111">
        <f>=F46/6.5</f>
        <v>0.0753846153846154</v>
      </c>
      <c r="L46" s="112">
        <f>=G46/6.5</f>
        <v>0.113076923076923</v>
      </c>
      <c r="M46" s="112">
        <f>=H46/6.5</f>
        <v>0.169615384615385</v>
      </c>
    </row>
    <row r="47" spans="1:13">
      <c r="A47" s="5" t="s">
        <v>261</v>
      </c>
      <c r="B47" s="5" t="s">
        <v>262</v>
      </c>
      <c r="C47" s="5" t="s">
        <v>59</v>
      </c>
      <c r="D47" s="110" t="s"/>
      <c r="E47" s="17" t="s"/>
      <c r="F47" s="18">
        <v>1</v>
      </c>
      <c r="G47" s="19">
        <f>=F47*1.5</f>
        <v>1.5</v>
      </c>
      <c r="H47" s="19">
        <f>=G47*1.5</f>
        <v>2.25</v>
      </c>
      <c r="I47" s="114" t="s"/>
      <c r="J47" s="121" t="s"/>
      <c r="K47" s="111">
        <f>=F47/6.5</f>
        <v>0.153846153846154</v>
      </c>
      <c r="L47" s="112">
        <f>=G47/6.5</f>
        <v>0.230769230769231</v>
      </c>
      <c r="M47" s="112">
        <f>=H47/6.5</f>
        <v>0.346153846153846</v>
      </c>
    </row>
    <row r="48" spans="1:13">
      <c r="A48" s="51" t="s">
        <v>263</v>
      </c>
      <c r="B48" s="5" t="s">
        <v>264</v>
      </c>
      <c r="C48" s="5" t="s">
        <v>240</v>
      </c>
      <c r="D48" s="95">
        <v>0.245</v>
      </c>
      <c r="E48" s="18">
        <v>0.315</v>
      </c>
      <c r="F48" s="18">
        <v>0.525</v>
      </c>
      <c r="G48" s="19">
        <v>0.735</v>
      </c>
      <c r="H48" s="19">
        <v>1.029</v>
      </c>
      <c r="I48" s="111">
        <v>0.0392</v>
      </c>
      <c r="J48" s="111">
        <v>0.0504</v>
      </c>
      <c r="K48" s="111">
        <v>0.084</v>
      </c>
      <c r="L48" s="112">
        <v>0.1176</v>
      </c>
      <c r="M48" s="112">
        <v>0.1646</v>
      </c>
    </row>
    <row r="49" spans="1:13">
      <c r="A49" s="34" t="s"/>
      <c r="B49" s="58" t="s">
        <v>265</v>
      </c>
      <c r="C49" s="5" t="s">
        <v>240</v>
      </c>
      <c r="D49" s="18">
        <v>0.2053</v>
      </c>
      <c r="E49" s="18">
        <v>0.264</v>
      </c>
      <c r="F49" s="18">
        <v>0.5279</v>
      </c>
      <c r="G49" s="19">
        <v>0.6335</v>
      </c>
      <c r="H49" s="19">
        <v>0.7602</v>
      </c>
      <c r="I49" s="111">
        <v>0.0311</v>
      </c>
      <c r="J49" s="111">
        <v>0.04</v>
      </c>
      <c r="K49" s="111">
        <v>0.08</v>
      </c>
      <c r="L49" s="112">
        <v>0.096</v>
      </c>
      <c r="M49" s="112">
        <v>0.1152</v>
      </c>
    </row>
    <row r="50" spans="1:13">
      <c r="A50" s="34" t="s"/>
      <c r="B50" s="34" t="s"/>
      <c r="C50" s="5" t="s">
        <v>247</v>
      </c>
      <c r="D50" s="18">
        <v>0.264</v>
      </c>
      <c r="E50" s="18">
        <v>0.352</v>
      </c>
      <c r="F50" s="18">
        <v>0.6746</v>
      </c>
      <c r="G50" s="122">
        <v>0.8095</v>
      </c>
      <c r="H50" s="19">
        <v>0.9714</v>
      </c>
      <c r="I50" s="20">
        <v>0.04</v>
      </c>
      <c r="J50" s="20">
        <v>0.0533</v>
      </c>
      <c r="K50" s="20">
        <v>0.1022</v>
      </c>
      <c r="L50" s="38">
        <v>0.1227</v>
      </c>
      <c r="M50" s="38">
        <v>0.1472</v>
      </c>
    </row>
    <row r="51" spans="1:13">
      <c r="A51" s="34" t="s"/>
      <c r="B51" s="5" t="s">
        <v>266</v>
      </c>
      <c r="C51" s="5" t="s">
        <v>240</v>
      </c>
      <c r="D51" s="123">
        <v>0.2346</v>
      </c>
      <c r="E51" s="123">
        <v>0.2933</v>
      </c>
      <c r="F51" s="123">
        <v>0.5573</v>
      </c>
      <c r="G51" s="124">
        <v>0.6687</v>
      </c>
      <c r="H51" s="125">
        <v>0.8025</v>
      </c>
      <c r="I51" s="126">
        <v>0.0356</v>
      </c>
      <c r="J51" s="126">
        <v>0.0444</v>
      </c>
      <c r="K51" s="126">
        <v>0.0844</v>
      </c>
      <c r="L51" s="127">
        <v>0.1013</v>
      </c>
      <c r="M51" s="127">
        <v>0.1216</v>
      </c>
    </row>
    <row r="52" spans="1:13">
      <c r="A52" s="34" t="s"/>
      <c r="B52" s="12" t="s"/>
      <c r="C52" s="5" t="s">
        <v>247</v>
      </c>
      <c r="D52" s="123">
        <v>0.2933</v>
      </c>
      <c r="E52" s="123">
        <v>0.3813</v>
      </c>
      <c r="F52" s="123">
        <v>0.7039</v>
      </c>
      <c r="G52" s="124">
        <v>0.8447</v>
      </c>
      <c r="H52" s="125">
        <v>1.0136</v>
      </c>
      <c r="I52" s="126">
        <v>0.0444</v>
      </c>
      <c r="J52" s="126">
        <v>0.0578</v>
      </c>
      <c r="K52" s="126">
        <v>0.1067</v>
      </c>
      <c r="L52" s="127">
        <v>0.128</v>
      </c>
      <c r="M52" s="127">
        <v>0.1536</v>
      </c>
    </row>
    <row r="53" spans="1:13">
      <c r="A53" s="5" t="s">
        <v>267</v>
      </c>
      <c r="B53" s="5" t="s">
        <v>268</v>
      </c>
      <c r="C53" s="5" t="s">
        <v>59</v>
      </c>
      <c r="D53" s="110" t="s"/>
      <c r="E53" s="18">
        <v>0.33</v>
      </c>
      <c r="F53" s="18">
        <v>0.58</v>
      </c>
      <c r="G53" s="19">
        <v>0.93</v>
      </c>
      <c r="H53" s="19">
        <v>1.49</v>
      </c>
      <c r="I53" s="114" t="s"/>
      <c r="J53" s="111">
        <f>=E53/6.5</f>
        <v>0.0507692307692308</v>
      </c>
      <c r="K53" s="111">
        <f>=F53/6.5</f>
        <v>0.0892307692307692</v>
      </c>
      <c r="L53" s="112">
        <f>=G53/6.5</f>
        <v>0.143076923076923</v>
      </c>
      <c r="M53" s="112">
        <f>=H53/6.5</f>
        <v>0.229230769230769</v>
      </c>
    </row>
    <row r="54" spans="1:13">
      <c r="A54" s="12" t="s"/>
      <c r="B54" s="5" t="s">
        <v>269</v>
      </c>
      <c r="C54" s="5" t="s">
        <v>59</v>
      </c>
      <c r="D54" s="128" t="s"/>
      <c r="E54" s="54">
        <v>0.225</v>
      </c>
      <c r="F54" s="54">
        <v>0.385</v>
      </c>
      <c r="G54" s="129">
        <v>0.58</v>
      </c>
      <c r="H54" s="129">
        <f>=G54*1.5</f>
        <v>0.87</v>
      </c>
      <c r="I54" s="130" t="s"/>
      <c r="J54" s="131">
        <f>=E54/6.5</f>
        <v>0.0346153846153846</v>
      </c>
      <c r="K54" s="131">
        <f>=F54/6.5</f>
        <v>0.0592307692307692</v>
      </c>
      <c r="L54" s="132">
        <f>=G54/6.5</f>
        <v>0.0892307692307692</v>
      </c>
      <c r="M54" s="132">
        <f>=H54/6.5</f>
        <v>0.133846153846154</v>
      </c>
    </row>
    <row r="55" spans="1:13">
      <c r="A55" s="5" t="s">
        <v>270</v>
      </c>
      <c r="B55" s="23">
        <v>3.1</v>
      </c>
      <c r="C55" s="52" t="s">
        <v>247</v>
      </c>
      <c r="D55" s="110" t="s"/>
      <c r="E55" s="57">
        <v>3</v>
      </c>
      <c r="F55" s="57">
        <v>3</v>
      </c>
      <c r="G55" s="133">
        <v>3.75</v>
      </c>
      <c r="H55" s="57">
        <v>4.5</v>
      </c>
      <c r="I55" s="134" t="s"/>
      <c r="J55" s="101">
        <v>0.4</v>
      </c>
      <c r="K55" s="101">
        <v>0.4</v>
      </c>
      <c r="L55" s="135">
        <v>0.5</v>
      </c>
      <c r="M55" s="101">
        <v>0.6</v>
      </c>
    </row>
    <row r="56" spans="1:13">
      <c r="A56" s="12" t="s"/>
      <c r="B56" s="12" t="s"/>
      <c r="C56" s="52" t="s">
        <v>240</v>
      </c>
      <c r="D56" s="110" t="s"/>
      <c r="E56" s="57">
        <v>1.5</v>
      </c>
      <c r="F56" s="57">
        <v>1.5</v>
      </c>
      <c r="G56" s="133">
        <v>2.25</v>
      </c>
      <c r="H56" s="57">
        <v>3</v>
      </c>
      <c r="I56" s="134" t="s"/>
      <c r="J56" s="101">
        <v>0.2</v>
      </c>
      <c r="K56" s="101">
        <v>0.2</v>
      </c>
      <c r="L56" s="135">
        <v>0.3</v>
      </c>
      <c r="M56" s="101">
        <v>0.4</v>
      </c>
    </row>
    <row r="57" spans="1:13">
      <c r="A57" s="12" t="s"/>
      <c r="B57" s="5" t="s">
        <v>271</v>
      </c>
      <c r="C57" s="52" t="s">
        <v>247</v>
      </c>
      <c r="D57" s="110" t="s"/>
      <c r="E57" s="57">
        <v>1.125</v>
      </c>
      <c r="F57" s="57">
        <v>1.125</v>
      </c>
      <c r="G57" s="133">
        <v>1.875</v>
      </c>
      <c r="H57" s="57">
        <v>2.625</v>
      </c>
      <c r="I57" s="134" t="s"/>
      <c r="J57" s="101">
        <v>0.15</v>
      </c>
      <c r="K57" s="101">
        <v>0.15</v>
      </c>
      <c r="L57" s="135">
        <v>0.25</v>
      </c>
      <c r="M57" s="101">
        <v>0.35</v>
      </c>
    </row>
    <row r="58" spans="1:13">
      <c r="A58" s="12" t="s"/>
      <c r="B58" s="12" t="s"/>
      <c r="C58" s="52" t="s">
        <v>240</v>
      </c>
      <c r="D58" s="110" t="s"/>
      <c r="E58" s="57">
        <v>0.75</v>
      </c>
      <c r="F58" s="57">
        <v>0.75</v>
      </c>
      <c r="G58" s="133">
        <v>1.5</v>
      </c>
      <c r="H58" s="57">
        <v>2.25</v>
      </c>
      <c r="I58" s="134" t="s"/>
      <c r="J58" s="101">
        <v>0.1</v>
      </c>
      <c r="K58" s="101">
        <v>0.1</v>
      </c>
      <c r="L58" s="135">
        <v>0.2</v>
      </c>
      <c r="M58" s="101">
        <v>0.3</v>
      </c>
    </row>
    <row r="59" spans="1:13">
      <c r="A59" s="12" t="s"/>
      <c r="B59" s="16" t="s">
        <v>272</v>
      </c>
      <c r="C59" s="52" t="s">
        <v>247</v>
      </c>
      <c r="D59" s="136" t="s"/>
      <c r="E59" s="87">
        <v>0.375</v>
      </c>
      <c r="F59" s="87">
        <v>0.6</v>
      </c>
      <c r="G59" s="122">
        <f>=L59*7.5</f>
        <v>0.9</v>
      </c>
      <c r="H59" s="122">
        <f>=M59*7.5</f>
        <v>1.125</v>
      </c>
      <c r="I59" s="137" t="s"/>
      <c r="J59" s="87">
        <v>0.05</v>
      </c>
      <c r="K59" s="87">
        <v>0.08</v>
      </c>
      <c r="L59" s="19">
        <v>0.12</v>
      </c>
      <c r="M59" s="122">
        <v>0.15</v>
      </c>
    </row>
    <row r="60" spans="1:13">
      <c r="A60" s="12" t="s"/>
      <c r="B60" s="12" t="s"/>
      <c r="C60" s="52" t="s">
        <v>240</v>
      </c>
      <c r="D60" s="136" t="s"/>
      <c r="E60" s="87">
        <v>0.225</v>
      </c>
      <c r="F60" s="87">
        <v>0.375</v>
      </c>
      <c r="G60" s="122">
        <f>=L60*7.5</f>
        <v>0.6</v>
      </c>
      <c r="H60" s="122">
        <f>=M60*7.5</f>
        <v>0.75</v>
      </c>
      <c r="I60" s="137" t="s"/>
      <c r="J60" s="87">
        <v>0.03</v>
      </c>
      <c r="K60" s="87">
        <v>0.05</v>
      </c>
      <c r="L60" s="19">
        <v>0.08</v>
      </c>
      <c r="M60" s="122">
        <v>0.1</v>
      </c>
    </row>
    <row r="61" spans="1:13">
      <c r="A61" s="5" t="s">
        <v>273</v>
      </c>
      <c r="B61" s="16">
        <v>2</v>
      </c>
      <c r="C61" s="5" t="s">
        <v>59</v>
      </c>
      <c r="D61" s="136" t="s"/>
      <c r="E61" s="104">
        <v>0.75</v>
      </c>
      <c r="F61" s="117">
        <v>1.125</v>
      </c>
      <c r="G61" s="117">
        <v>1.688</v>
      </c>
      <c r="H61" s="117">
        <v>2.531</v>
      </c>
      <c r="I61" s="138" t="s"/>
      <c r="J61" s="119">
        <v>0.1</v>
      </c>
      <c r="K61" s="120">
        <v>0.15</v>
      </c>
      <c r="L61" s="120">
        <v>0.225</v>
      </c>
      <c r="M61" s="120">
        <v>0.34</v>
      </c>
    </row>
    <row r="62" spans="1:13">
      <c r="A62" s="5" t="s">
        <v>274</v>
      </c>
      <c r="B62" s="16">
        <v>1</v>
      </c>
      <c r="C62" s="5" t="s">
        <v>59</v>
      </c>
      <c r="D62" s="110" t="s"/>
      <c r="E62" s="18">
        <v>0.3</v>
      </c>
      <c r="F62" s="18">
        <v>0.5</v>
      </c>
      <c r="G62" s="18">
        <f>=F62*1.5</f>
        <v>0.75</v>
      </c>
      <c r="H62" s="18">
        <v>1.12</v>
      </c>
      <c r="I62" s="114" t="s"/>
      <c r="J62" s="111">
        <f>=E62/6.5</f>
        <v>0.0461538461538462</v>
      </c>
      <c r="K62" s="111">
        <f>=F62/6.5</f>
        <v>0.0769230769230769</v>
      </c>
      <c r="L62" s="111">
        <f>=G62/6.5</f>
        <v>0.115384615384615</v>
      </c>
      <c r="M62" s="111">
        <f>=H62/6.5</f>
        <v>0.172307692307692</v>
      </c>
    </row>
  </sheetData>
  <mergeCells count="29">
    <mergeCell ref="A1:C1"/>
    <mergeCell ref="D1:M1"/>
    <mergeCell ref="A2:C2"/>
    <mergeCell ref="D2:H2"/>
    <mergeCell ref="I2:M2"/>
    <mergeCell ref="B7:B8"/>
    <mergeCell ref="B9:B10"/>
    <mergeCell ref="B11:B12"/>
    <mergeCell ref="B13:B16"/>
    <mergeCell ref="B17:B20"/>
    <mergeCell ref="B21:B22"/>
    <mergeCell ref="B24:B27"/>
    <mergeCell ref="B28:B30"/>
    <mergeCell ref="B32:B33"/>
    <mergeCell ref="B34:B35"/>
    <mergeCell ref="E40:H40"/>
    <mergeCell ref="I40:M40"/>
    <mergeCell ref="A42:A46"/>
    <mergeCell ref="B42:B43"/>
    <mergeCell ref="A48:A52"/>
    <mergeCell ref="B49:B50"/>
    <mergeCell ref="B51:B52"/>
    <mergeCell ref="A53:A54"/>
    <mergeCell ref="A55:A60"/>
    <mergeCell ref="B55:B56"/>
    <mergeCell ref="B57:B58"/>
    <mergeCell ref="B59:B60"/>
    <mergeCell ref="A5:A22"/>
    <mergeCell ref="A23:A40"/>
  </mergeCells>
</worksheet>
</file>

<file path=xl/worksheets/sheet3.xml><?xml version="1.0" encoding="utf-8"?>
<worksheet xmlns="http://schemas.openxmlformats.org/spreadsheetml/2006/main">
  <sheetPr codeName="AIGC生图片">
    <tabColor/>
  </sheetPr>
  <dimension ref="K30"/>
  <sheetViews>
    <sheetView showGridLines="true" workbookViewId="0">
      <pane ySplit="3" topLeftCell="A4" state="frozen"/>
    </sheetView>
  </sheetViews>
  <sheetFormatPr baseColWidth="13" defaultRowHeight="18" customHeight="true"/>
  <cols>
    <col min="1" max="1" width="15.7109" customWidth="true"/>
    <col min="2" max="2" width="21.7109" customWidth="true"/>
    <col min="3" max="3" width="13.7109" customWidth="true"/>
    <col min="4" max="4" width="17.7109" customWidth="true"/>
    <col min="5" max="5" width="18.7109" customWidth="true"/>
    <col min="6" max="6" width="16.7109" customWidth="true"/>
    <col min="7" max="7" width="15.7109" customWidth="true"/>
    <col min="8" max="11" width="13.7109" customWidth="true"/>
  </cols>
  <sheetData>
    <row r="1" spans="1:1">
      <c r="A1" s="10" t="s">
        <v>46</v>
      </c>
    </row>
    <row r="2" spans="1:11">
      <c r="A2" s="11" t="s">
        <v>47</v>
      </c>
      <c r="B2" s="12" t="s"/>
      <c r="C2" s="12" t="s"/>
      <c r="D2" s="13" t="s">
        <v>48</v>
      </c>
      <c r="E2" s="12" t="s"/>
      <c r="F2" s="12" t="s"/>
      <c r="G2" s="12" t="s"/>
      <c r="H2" s="14" t="s">
        <v>49</v>
      </c>
      <c r="I2" s="12" t="s"/>
      <c r="J2" s="12" t="s"/>
      <c r="K2" s="12" t="s"/>
    </row>
    <row r="3" spans="1:11">
      <c r="A3" s="15" t="s">
        <v>50</v>
      </c>
      <c r="B3" s="15" t="s">
        <v>51</v>
      </c>
      <c r="C3" s="15" t="s">
        <v>52</v>
      </c>
      <c r="D3" s="13" t="s">
        <v>53</v>
      </c>
      <c r="E3" s="13" t="s">
        <v>54</v>
      </c>
      <c r="F3" s="13" t="s">
        <v>55</v>
      </c>
      <c r="G3" s="13" t="s">
        <v>56</v>
      </c>
      <c r="H3" s="14" t="s">
        <v>57</v>
      </c>
      <c r="I3" s="14" t="s">
        <v>54</v>
      </c>
      <c r="J3" s="14" t="s">
        <v>55</v>
      </c>
      <c r="K3" s="14" t="s">
        <v>56</v>
      </c>
    </row>
    <row r="4" spans="1:11">
      <c r="A4" s="5" t="s">
        <v>58</v>
      </c>
      <c r="B4" s="16">
        <v>3</v>
      </c>
      <c r="C4" s="5" t="s">
        <v>59</v>
      </c>
      <c r="D4" s="17" t="s"/>
      <c r="E4" s="18">
        <v>0.2</v>
      </c>
      <c r="F4" s="19">
        <v>0.28</v>
      </c>
      <c r="G4" s="19">
        <v>0.36</v>
      </c>
      <c r="H4" s="20" t="s">
        <v>59</v>
      </c>
      <c r="I4" s="20" t="s">
        <v>59</v>
      </c>
      <c r="J4" s="20" t="s">
        <v>59</v>
      </c>
      <c r="K4" s="20" t="s">
        <v>59</v>
      </c>
    </row>
    <row r="5" spans="1:11">
      <c r="A5" s="5" t="s">
        <v>60</v>
      </c>
      <c r="B5" s="5" t="s">
        <v>61</v>
      </c>
      <c r="C5" s="5" t="s">
        <v>59</v>
      </c>
      <c r="D5" s="17" t="s"/>
      <c r="E5" s="18">
        <v>0.22</v>
      </c>
      <c r="F5" s="18">
        <v>0.22</v>
      </c>
      <c r="G5" s="18">
        <v>0.22</v>
      </c>
      <c r="H5" s="21" t="s"/>
      <c r="I5" s="22">
        <f>=ROUNDUP(E5/6.5,4)</f>
        <v>0.0339</v>
      </c>
      <c r="J5" s="22">
        <f>=ROUNDUP(F5/6.5,4)</f>
        <v>0.0339</v>
      </c>
      <c r="K5" s="22">
        <f>=ROUNDUP(G5/6.5,4)</f>
        <v>0.0339</v>
      </c>
    </row>
    <row r="6" spans="1:11">
      <c r="A6" s="12" t="s"/>
      <c r="B6" s="23">
        <v>4.5</v>
      </c>
      <c r="C6" s="5" t="s">
        <v>59</v>
      </c>
      <c r="D6" s="17" t="s"/>
      <c r="E6" s="18">
        <v>0.25</v>
      </c>
      <c r="F6" s="18">
        <v>0.25</v>
      </c>
      <c r="G6" s="24">
        <v>0.25</v>
      </c>
      <c r="H6" s="25" t="s"/>
      <c r="I6" s="22">
        <f>=ROUNDUP(E6/6.5,4)</f>
        <v>0.0385</v>
      </c>
      <c r="J6" s="22">
        <f>=ROUNDUP(F6/6.5,4)</f>
        <v>0.0385</v>
      </c>
      <c r="K6" s="22">
        <f>=ROUNDUP(G6/6.5,4)</f>
        <v>0.0385</v>
      </c>
    </row>
    <row r="7" spans="1:11">
      <c r="A7" s="12" t="s"/>
      <c r="B7" s="26" t="s">
        <v>62</v>
      </c>
      <c r="C7" s="5" t="s">
        <v>59</v>
      </c>
      <c r="D7" s="17" t="s"/>
      <c r="E7" s="18">
        <v>0.2</v>
      </c>
      <c r="F7" s="18">
        <v>0.2</v>
      </c>
      <c r="G7" s="24">
        <v>0.2</v>
      </c>
      <c r="H7" s="25" t="s"/>
      <c r="I7" s="22">
        <f>=ROUNDUP(E7/6.5,4)</f>
        <v>0.0308</v>
      </c>
      <c r="J7" s="22">
        <f>=ROUNDUP(F7/6.5,4)</f>
        <v>0.0308</v>
      </c>
      <c r="K7" s="22">
        <f>=ROUNDUP(G7/6.5,4)</f>
        <v>0.0308</v>
      </c>
    </row>
    <row r="8" spans="1:11">
      <c r="A8" s="5" t="s">
        <v>63</v>
      </c>
      <c r="B8" s="26" t="s">
        <v>64</v>
      </c>
      <c r="C8" s="5" t="s">
        <v>59</v>
      </c>
      <c r="D8" s="17" t="s"/>
      <c r="E8" s="18">
        <v>0.3</v>
      </c>
      <c r="F8" s="18">
        <v>0.38</v>
      </c>
      <c r="G8" s="24">
        <v>0.46</v>
      </c>
      <c r="H8" s="25" t="s"/>
      <c r="I8" s="20">
        <v>0.039</v>
      </c>
      <c r="J8" s="20">
        <v>0.051</v>
      </c>
      <c r="K8" s="20">
        <v>0.063</v>
      </c>
    </row>
    <row r="9" spans="1:11">
      <c r="A9" s="5" t="s">
        <v>65</v>
      </c>
      <c r="B9" s="26" t="s">
        <v>62</v>
      </c>
      <c r="C9" s="5" t="s">
        <v>59</v>
      </c>
      <c r="D9" s="17" t="s"/>
      <c r="E9" s="18">
        <v>0.22</v>
      </c>
      <c r="F9" s="18">
        <v>0.22</v>
      </c>
      <c r="G9" s="18">
        <v>0.22</v>
      </c>
      <c r="H9" s="27" t="s"/>
      <c r="I9" s="28">
        <v>0.0339</v>
      </c>
      <c r="J9" s="28">
        <v>0.0339</v>
      </c>
      <c r="K9" s="28">
        <v>0.0339</v>
      </c>
    </row>
    <row r="10" spans="1:11">
      <c r="A10" s="5" t="s">
        <v>66</v>
      </c>
      <c r="B10" s="26" t="s">
        <v>67</v>
      </c>
      <c r="C10" s="5" t="s">
        <v>59</v>
      </c>
      <c r="D10" s="17" t="s"/>
      <c r="E10" s="18">
        <v>0.3</v>
      </c>
      <c r="F10" s="19">
        <v>0.38</v>
      </c>
      <c r="G10" s="19">
        <v>0.46</v>
      </c>
      <c r="H10" s="27" t="s"/>
      <c r="I10" s="28">
        <f>=E10/6.5</f>
        <v>0.0461538461538462</v>
      </c>
      <c r="J10" s="29">
        <f>=F10/6.5</f>
        <v>0.0584615384615385</v>
      </c>
      <c r="K10" s="29">
        <f>=G10/6.5</f>
        <v>0.0707692307692308</v>
      </c>
    </row>
    <row r="11" spans="1:11">
      <c r="A11" s="30" t="s">
        <v>275</v>
      </c>
      <c r="B11" s="31" t="s">
        <v>68</v>
      </c>
      <c r="C11" s="5" t="s">
        <v>69</v>
      </c>
      <c r="D11" s="18">
        <v>0.1</v>
      </c>
      <c r="E11" s="32" t="s"/>
      <c r="F11" s="32" t="s"/>
      <c r="G11" s="32" t="s"/>
      <c r="H11" s="22">
        <v>0.0154</v>
      </c>
      <c r="I11" s="33" t="s"/>
      <c r="J11" s="33" t="s"/>
      <c r="K11" s="33" t="s"/>
    </row>
    <row r="12" spans="1:11">
      <c r="A12" s="34" t="s"/>
      <c r="B12" s="34" t="s"/>
      <c r="C12" s="5" t="s">
        <v>70</v>
      </c>
      <c r="D12" s="17" t="s"/>
      <c r="E12" s="18">
        <v>0.045</v>
      </c>
      <c r="F12" s="18">
        <v>0.09</v>
      </c>
      <c r="G12" s="18">
        <v>0.15</v>
      </c>
      <c r="H12" s="21" t="s"/>
      <c r="I12" s="20">
        <v>0.006</v>
      </c>
      <c r="J12" s="20">
        <v>0.012</v>
      </c>
      <c r="K12" s="20">
        <v>0.02</v>
      </c>
    </row>
    <row r="13" spans="1:11">
      <c r="A13" s="34" t="s"/>
      <c r="B13" s="34" t="s"/>
      <c r="C13" s="5" t="s">
        <v>71</v>
      </c>
      <c r="D13" s="17" t="s"/>
      <c r="E13" s="18">
        <v>0.398</v>
      </c>
      <c r="F13" s="18">
        <v>0.803</v>
      </c>
      <c r="G13" s="18">
        <v>1.335</v>
      </c>
      <c r="H13" s="21" t="s"/>
      <c r="I13" s="22">
        <v>0.053</v>
      </c>
      <c r="J13" s="22">
        <v>0.107</v>
      </c>
      <c r="K13" s="22">
        <v>0.178</v>
      </c>
    </row>
    <row r="14" spans="1:11">
      <c r="A14" s="34" t="s"/>
      <c r="B14" s="34" t="s"/>
      <c r="C14" s="5" t="s">
        <v>72</v>
      </c>
      <c r="D14" s="17" t="s"/>
      <c r="E14" s="18">
        <v>1.583</v>
      </c>
      <c r="F14" s="18">
        <v>3.21</v>
      </c>
      <c r="G14" s="18">
        <v>5.34</v>
      </c>
      <c r="H14" s="21" t="s"/>
      <c r="I14" s="22">
        <v>0.211</v>
      </c>
      <c r="J14" s="22">
        <v>0.428</v>
      </c>
      <c r="K14" s="22">
        <v>0.712</v>
      </c>
    </row>
    <row r="15" spans="1:11">
      <c r="A15" s="35" t="s">
        <v>276</v>
      </c>
      <c r="B15" s="5" t="s">
        <v>68</v>
      </c>
      <c r="C15" s="5" t="s">
        <v>70</v>
      </c>
      <c r="D15" s="17" t="s"/>
      <c r="E15" s="18">
        <v>0.3</v>
      </c>
      <c r="F15" s="18">
        <v>0.338</v>
      </c>
      <c r="G15" s="18">
        <v>0.398</v>
      </c>
      <c r="H15" s="21" t="s"/>
      <c r="I15" s="22">
        <v>0.04</v>
      </c>
      <c r="J15" s="22">
        <v>0.045</v>
      </c>
      <c r="K15" s="22">
        <v>0.053</v>
      </c>
    </row>
    <row r="16" spans="1:11">
      <c r="A16" s="12" t="s"/>
      <c r="B16" s="12" t="s"/>
      <c r="C16" s="5" t="s">
        <v>71</v>
      </c>
      <c r="D16" s="17" t="s"/>
      <c r="E16" s="18">
        <v>0.638</v>
      </c>
      <c r="F16" s="18">
        <v>1.05</v>
      </c>
      <c r="G16" s="18">
        <v>1.583</v>
      </c>
      <c r="H16" s="21" t="s"/>
      <c r="I16" s="22">
        <v>0.085</v>
      </c>
      <c r="J16" s="22">
        <v>0.14</v>
      </c>
      <c r="K16" s="22">
        <v>0.211</v>
      </c>
    </row>
    <row r="17" spans="1:11">
      <c r="A17" s="12" t="s"/>
      <c r="B17" s="12" t="s"/>
      <c r="C17" s="5" t="s">
        <v>72</v>
      </c>
      <c r="D17" s="17" t="s"/>
      <c r="E17" s="18">
        <v>1.838</v>
      </c>
      <c r="F17" s="18">
        <v>3.45</v>
      </c>
      <c r="G17" s="18">
        <v>5.588</v>
      </c>
      <c r="H17" s="21" t="s"/>
      <c r="I17" s="22">
        <v>0.245</v>
      </c>
      <c r="J17" s="22">
        <v>0.46</v>
      </c>
      <c r="K17" s="22">
        <v>0.745</v>
      </c>
    </row>
    <row r="18" spans="1:11">
      <c r="A18" s="5" t="s">
        <v>73</v>
      </c>
      <c r="B18" s="23">
        <v>3.1</v>
      </c>
      <c r="C18" s="5" t="s">
        <v>59</v>
      </c>
      <c r="D18" s="18">
        <v>0.333</v>
      </c>
      <c r="E18" s="18">
        <v>0.5</v>
      </c>
      <c r="F18" s="18">
        <v>0.75</v>
      </c>
      <c r="G18" s="18">
        <v>1.12</v>
      </c>
      <c r="H18" s="20">
        <v>0.045</v>
      </c>
      <c r="I18" s="20">
        <v>0.067</v>
      </c>
      <c r="J18" s="20">
        <v>0.101</v>
      </c>
      <c r="K18" s="20">
        <v>0.151</v>
      </c>
    </row>
    <row r="19" spans="1:11">
      <c r="A19" s="12" t="s"/>
      <c r="B19" s="16">
        <v>3</v>
      </c>
      <c r="C19" s="5" t="s">
        <v>59</v>
      </c>
      <c r="D19" s="17" t="s"/>
      <c r="E19" s="18">
        <v>1</v>
      </c>
      <c r="F19" s="18">
        <v>1</v>
      </c>
      <c r="G19" s="18">
        <v>1.8</v>
      </c>
      <c r="H19" s="36" t="s"/>
      <c r="I19" s="22">
        <v>0.135</v>
      </c>
      <c r="J19" s="22">
        <v>0.135</v>
      </c>
      <c r="K19" s="22">
        <v>0.24</v>
      </c>
    </row>
    <row r="20" spans="1:11">
      <c r="A20" s="12" t="s"/>
      <c r="B20" s="5" t="s">
        <v>74</v>
      </c>
      <c r="C20" s="5" t="s">
        <v>75</v>
      </c>
      <c r="D20" s="17" t="s"/>
      <c r="E20" s="18">
        <v>0.3</v>
      </c>
      <c r="F20" s="19">
        <v>0.38</v>
      </c>
      <c r="G20" s="19">
        <v>0.46</v>
      </c>
      <c r="H20" s="37" t="s"/>
      <c r="I20" s="20">
        <v>0.039</v>
      </c>
      <c r="J20" s="38">
        <f>=I20+0.012</f>
        <v>0.051</v>
      </c>
      <c r="K20" s="38">
        <f>=I20+0.024</f>
        <v>0.063</v>
      </c>
    </row>
    <row r="21" spans="1:11">
      <c r="A21" s="39" t="s">
        <v>76</v>
      </c>
      <c r="B21" s="39" t="s">
        <v>77</v>
      </c>
      <c r="C21" s="5" t="s">
        <v>78</v>
      </c>
      <c r="D21" s="17" t="s"/>
      <c r="E21" s="18">
        <v>0.1875</v>
      </c>
      <c r="F21" s="18">
        <v>0.25</v>
      </c>
      <c r="G21" s="18">
        <v>0.3125</v>
      </c>
      <c r="H21" s="40" t="s"/>
      <c r="I21" s="20">
        <f>=E21/6.5</f>
        <v>0.0288461538461539</v>
      </c>
      <c r="J21" s="20">
        <f>=F21/6.5</f>
        <v>0.0384615384615385</v>
      </c>
      <c r="K21" s="20">
        <f>=G21/6.5</f>
        <v>0.0480769230769231</v>
      </c>
    </row>
    <row r="22" spans="1:11">
      <c r="A22" s="41" t="s"/>
      <c r="B22" s="41" t="s"/>
      <c r="C22" s="5" t="s">
        <v>79</v>
      </c>
      <c r="D22" s="17" t="s"/>
      <c r="E22" s="18">
        <v>0.25</v>
      </c>
      <c r="F22" s="18">
        <v>0.375</v>
      </c>
      <c r="G22" s="18">
        <v>0.5</v>
      </c>
      <c r="H22" s="40" t="s"/>
      <c r="I22" s="20">
        <f>=E22/6.5</f>
        <v>0.0384615384615385</v>
      </c>
      <c r="J22" s="20">
        <f>=F22/6.5</f>
        <v>0.0576923076923077</v>
      </c>
      <c r="K22" s="20">
        <f>=G22/6.5</f>
        <v>0.0769230769230769</v>
      </c>
    </row>
    <row r="23" spans="1:11">
      <c r="A23" s="41" t="s"/>
      <c r="B23" s="41" t="s"/>
      <c r="C23" s="39" t="s">
        <v>80</v>
      </c>
      <c r="D23" s="42" t="s"/>
      <c r="E23" s="43">
        <v>0.3125</v>
      </c>
      <c r="F23" s="43">
        <v>0.625</v>
      </c>
      <c r="G23" s="43">
        <v>0.9375</v>
      </c>
      <c r="H23" s="44" t="s"/>
      <c r="I23" s="45">
        <f>=E23/6.5</f>
        <v>0.0480769230769231</v>
      </c>
      <c r="J23" s="45">
        <f>=F23/6.5</f>
        <v>0.0961538461538462</v>
      </c>
      <c r="K23" s="45">
        <f>=G23/6.5</f>
        <v>0.144230769230769</v>
      </c>
    </row>
    <row r="24" spans="1:11">
      <c r="A24" s="5" t="s">
        <v>81</v>
      </c>
      <c r="B24" s="16">
        <v>3</v>
      </c>
      <c r="C24" s="5" t="s">
        <v>59</v>
      </c>
      <c r="D24" s="17" t="s"/>
      <c r="E24" s="18">
        <v>0.2</v>
      </c>
      <c r="F24" s="18">
        <v>0.2</v>
      </c>
      <c r="G24" s="18">
        <v>0.4</v>
      </c>
      <c r="H24" s="25" t="s"/>
      <c r="I24" s="20">
        <v>0.028</v>
      </c>
      <c r="J24" s="20">
        <v>0.028</v>
      </c>
      <c r="K24" s="20">
        <v>0.056</v>
      </c>
    </row>
    <row r="25" spans="1:11">
      <c r="A25" s="12" t="s"/>
      <c r="B25" s="16" t="s">
        <v>82</v>
      </c>
      <c r="C25" s="5" t="s">
        <v>59</v>
      </c>
      <c r="D25" s="17" t="s"/>
      <c r="E25" s="18">
        <v>0.2</v>
      </c>
      <c r="F25" s="18">
        <v>0.2</v>
      </c>
      <c r="G25" s="18">
        <v>0.4</v>
      </c>
      <c r="H25" s="25" t="s"/>
      <c r="I25" s="20">
        <v>0.028</v>
      </c>
      <c r="J25" s="20">
        <v>0.028</v>
      </c>
      <c r="K25" s="20">
        <v>0.056</v>
      </c>
    </row>
    <row r="26" spans="1:11">
      <c r="A26" s="12" t="s"/>
      <c r="B26" s="5" t="s">
        <v>83</v>
      </c>
      <c r="C26" s="5" t="s">
        <v>59</v>
      </c>
      <c r="D26" s="17" t="s"/>
      <c r="E26" s="18">
        <v>0.2</v>
      </c>
      <c r="F26" s="18">
        <v>0.2</v>
      </c>
      <c r="G26" s="18">
        <v>0.4</v>
      </c>
      <c r="H26" s="25" t="s"/>
      <c r="I26" s="20">
        <v>0.028</v>
      </c>
      <c r="J26" s="20">
        <v>0.028</v>
      </c>
      <c r="K26" s="20">
        <v>0.056</v>
      </c>
    </row>
    <row r="27" spans="1:11">
      <c r="A27" s="12" t="s"/>
      <c r="B27" s="23">
        <v>2.1</v>
      </c>
      <c r="C27" s="5" t="s">
        <v>78</v>
      </c>
      <c r="D27" s="17" t="s"/>
      <c r="E27" s="18">
        <v>0.1</v>
      </c>
      <c r="F27" s="18">
        <v>0.1</v>
      </c>
      <c r="G27" s="18">
        <v>0.26</v>
      </c>
      <c r="H27" s="25" t="s"/>
      <c r="I27" s="20">
        <v>0.014</v>
      </c>
      <c r="J27" s="20">
        <v>0.014</v>
      </c>
      <c r="K27" s="20">
        <v>0.037</v>
      </c>
    </row>
    <row r="28" spans="1:11">
      <c r="A28" s="12" t="s"/>
      <c r="B28" s="12" t="s"/>
      <c r="C28" s="5" t="s">
        <v>84</v>
      </c>
      <c r="D28" s="17" t="s"/>
      <c r="E28" s="18">
        <v>0.2</v>
      </c>
      <c r="F28" s="18">
        <v>0.2</v>
      </c>
      <c r="G28" s="18">
        <v>0.4</v>
      </c>
      <c r="H28" s="25" t="s"/>
      <c r="I28" s="20">
        <v>0.028</v>
      </c>
      <c r="J28" s="20">
        <v>0.028</v>
      </c>
      <c r="K28" s="20">
        <v>0.056</v>
      </c>
    </row>
    <row r="29" spans="1:11">
      <c r="A29" s="12" t="s"/>
      <c r="B29" s="12" t="s"/>
      <c r="C29" s="5" t="s">
        <v>85</v>
      </c>
      <c r="D29" s="17" t="s"/>
      <c r="E29" s="18">
        <v>0.4</v>
      </c>
      <c r="F29" s="18">
        <v>0.48</v>
      </c>
      <c r="G29" s="18">
        <v>0.56</v>
      </c>
      <c r="H29" s="25" t="s"/>
      <c r="I29" s="20">
        <v>0.056</v>
      </c>
      <c r="J29" s="20">
        <v>0.068</v>
      </c>
      <c r="K29" s="20">
        <v>0.079</v>
      </c>
    </row>
    <row r="30" spans="1:11">
      <c r="A30" s="12" t="s"/>
      <c r="B30" s="46" t="s">
        <v>277</v>
      </c>
      <c r="C30" s="5" t="s">
        <v>86</v>
      </c>
      <c r="D30" s="18">
        <v>0.2</v>
      </c>
      <c r="E30" s="32" t="s"/>
      <c r="F30" s="32" t="s"/>
      <c r="G30" s="32" t="s"/>
      <c r="H30" s="20">
        <v>0.028</v>
      </c>
      <c r="I30" s="32" t="s"/>
      <c r="J30" s="32" t="s"/>
      <c r="K30" s="32" t="s"/>
    </row>
  </sheetData>
  <mergeCells count="18">
    <mergeCell ref="A1:K1"/>
    <mergeCell ref="A2:C2"/>
    <mergeCell ref="D2:G2"/>
    <mergeCell ref="H2:K2"/>
    <mergeCell ref="A5:A7"/>
    <mergeCell ref="A11:A14"/>
    <mergeCell ref="B11:B14"/>
    <mergeCell ref="D11:G11"/>
    <mergeCell ref="H11:K11"/>
    <mergeCell ref="A15:A17"/>
    <mergeCell ref="B15:B17"/>
    <mergeCell ref="A18:A20"/>
    <mergeCell ref="A21:A23"/>
    <mergeCell ref="B21:B23"/>
    <mergeCell ref="A24:A30"/>
    <mergeCell ref="B27:B29"/>
    <mergeCell ref="D30:G30"/>
    <mergeCell ref="H30:K30"/>
  </mergeCells>
</worksheet>
</file>

<file path=xl/worksheets/sheet4.xml><?xml version="1.0" encoding="utf-8"?>
<worksheet xmlns="http://schemas.openxmlformats.org/spreadsheetml/2006/main">
  <sheetPr codeName="AIGC生文本">
    <tabColor/>
  </sheetPr>
  <dimension ref="M75"/>
  <sheetViews>
    <sheetView showGridLines="true" workbookViewId="0"/>
  </sheetViews>
  <sheetFormatPr baseColWidth="13" defaultRowHeight="18" customHeight="true"/>
  <cols>
    <col min="1" max="1" width="15.7109" customWidth="true"/>
    <col min="2" max="2" width="24.7109" customWidth="true"/>
    <col min="3" max="3" width="33.0508" customWidth="true"/>
    <col min="4" max="6" width="13.7109" customWidth="true"/>
    <col min="7" max="7" width="12.7109" customWidth="true"/>
    <col min="8" max="13" width="13.7109" customWidth="true"/>
  </cols>
  <sheetData>
    <row r="1" spans="1:13">
      <c r="A1" s="47" t="s">
        <v>87</v>
      </c>
      <c r="B1" s="12" t="s"/>
      <c r="C1" s="12" t="s"/>
      <c r="D1" s="48" t="s">
        <v>88</v>
      </c>
      <c r="E1" s="12" t="s"/>
      <c r="F1" s="12" t="s"/>
      <c r="G1" s="49" t="s">
        <v>89</v>
      </c>
      <c r="H1" s="12" t="s"/>
      <c r="I1" s="12" t="s"/>
      <c r="J1" s="50" t="s"/>
      <c r="K1" s="50" t="s"/>
      <c r="L1" s="50" t="s"/>
      <c r="M1" s="50" t="s"/>
    </row>
    <row r="2" spans="1:13">
      <c r="A2" s="4" t="s">
        <v>50</v>
      </c>
      <c r="B2" s="4" t="s">
        <v>51</v>
      </c>
      <c r="C2" s="4" t="s">
        <v>52</v>
      </c>
      <c r="D2" s="48" t="s">
        <v>90</v>
      </c>
      <c r="E2" s="48" t="s">
        <v>91</v>
      </c>
      <c r="F2" s="48" t="s">
        <v>92</v>
      </c>
      <c r="G2" s="49" t="s">
        <v>90</v>
      </c>
      <c r="H2" s="49" t="s">
        <v>91</v>
      </c>
      <c r="I2" s="49" t="s">
        <v>92</v>
      </c>
      <c r="J2" s="50" t="s"/>
      <c r="K2" s="50" t="s"/>
      <c r="L2" s="50" t="s"/>
      <c r="M2" s="50" t="s"/>
    </row>
    <row r="3" spans="1:13">
      <c r="A3" s="51" t="s">
        <v>278</v>
      </c>
      <c r="B3" s="16" t="s">
        <v>93</v>
      </c>
      <c r="C3" s="52" t="s">
        <v>94</v>
      </c>
      <c r="D3" s="18">
        <v>1.2</v>
      </c>
      <c r="E3" s="18">
        <v>0.4</v>
      </c>
      <c r="F3" s="18">
        <v>4</v>
      </c>
      <c r="G3" s="18" t="s">
        <v>59</v>
      </c>
      <c r="H3" s="18" t="s">
        <v>59</v>
      </c>
      <c r="I3" s="18" t="s">
        <v>59</v>
      </c>
      <c r="J3" s="50" t="s"/>
      <c r="K3" s="50" t="s"/>
      <c r="L3" s="50" t="s"/>
      <c r="M3" s="50" t="s"/>
    </row>
    <row r="4" spans="1:13">
      <c r="A4" s="34" t="s"/>
      <c r="B4" s="12" t="s"/>
      <c r="C4" s="52" t="s">
        <v>95</v>
      </c>
      <c r="D4" s="18">
        <v>1.6</v>
      </c>
      <c r="E4" s="18">
        <v>0.6</v>
      </c>
      <c r="F4" s="18">
        <v>6.4</v>
      </c>
      <c r="G4" s="18" t="s">
        <v>59</v>
      </c>
      <c r="H4" s="18" t="s">
        <v>59</v>
      </c>
      <c r="I4" s="18" t="s">
        <v>59</v>
      </c>
      <c r="J4" s="50" t="s"/>
      <c r="K4" s="50" t="s"/>
      <c r="L4" s="50" t="s"/>
      <c r="M4" s="50" t="s"/>
    </row>
    <row r="5" spans="1:13">
      <c r="A5" s="34" t="s"/>
      <c r="B5" s="12" t="s"/>
      <c r="C5" s="53" t="s">
        <v>96</v>
      </c>
      <c r="D5" s="54">
        <v>2</v>
      </c>
      <c r="E5" s="54">
        <v>0.8</v>
      </c>
      <c r="F5" s="54">
        <v>8</v>
      </c>
      <c r="G5" s="54" t="s">
        <v>59</v>
      </c>
      <c r="H5" s="54" t="s">
        <v>59</v>
      </c>
      <c r="I5" s="54" t="s">
        <v>59</v>
      </c>
      <c r="J5" s="50" t="s"/>
      <c r="K5" s="50" t="s"/>
      <c r="L5" s="50" t="s"/>
      <c r="M5" s="50" t="s"/>
    </row>
    <row r="6" spans="1:13">
      <c r="A6" s="5" t="s">
        <v>97</v>
      </c>
      <c r="B6" s="16" t="s">
        <v>279</v>
      </c>
      <c r="C6" s="5" t="s">
        <v>98</v>
      </c>
      <c r="D6" s="18">
        <f>=G6*7.5</f>
        <v>37.5</v>
      </c>
      <c r="E6" s="18">
        <f>=H6*7.5</f>
        <v>3.75</v>
      </c>
      <c r="F6" s="18">
        <f>=I6*7.5</f>
        <v>225</v>
      </c>
      <c r="G6" s="18">
        <v>5</v>
      </c>
      <c r="H6" s="18">
        <v>0.5</v>
      </c>
      <c r="I6" s="18">
        <v>30</v>
      </c>
      <c r="J6" s="50" t="s"/>
      <c r="K6" s="50" t="s"/>
      <c r="L6" s="50" t="s"/>
      <c r="M6" s="50" t="s"/>
    </row>
    <row r="7" spans="1:13">
      <c r="A7" s="12" t="s"/>
      <c r="B7" s="12" t="s"/>
      <c r="C7" s="5" t="s">
        <v>99</v>
      </c>
      <c r="D7" s="18">
        <f>=G7*7.5</f>
        <v>75</v>
      </c>
      <c r="E7" s="18">
        <f>=H7*7.5</f>
        <v>7.5</v>
      </c>
      <c r="F7" s="18">
        <f>=I7*7.5</f>
        <v>337.5</v>
      </c>
      <c r="G7" s="18">
        <v>10</v>
      </c>
      <c r="H7" s="18">
        <v>1</v>
      </c>
      <c r="I7" s="18">
        <v>45</v>
      </c>
      <c r="J7" s="50" t="s"/>
      <c r="K7" s="50" t="s"/>
      <c r="L7" s="50" t="s"/>
      <c r="M7" s="50" t="s"/>
    </row>
    <row r="8" spans="1:13">
      <c r="A8" s="12" t="s"/>
      <c r="B8" s="16" t="s">
        <v>100</v>
      </c>
      <c r="C8" s="5" t="s">
        <v>98</v>
      </c>
      <c r="D8" s="18">
        <v>225</v>
      </c>
      <c r="E8" s="18" t="s">
        <v>59</v>
      </c>
      <c r="F8" s="18">
        <v>1350</v>
      </c>
      <c r="G8" s="18">
        <v>30</v>
      </c>
      <c r="H8" s="18" t="s">
        <v>59</v>
      </c>
      <c r="I8" s="18">
        <v>180</v>
      </c>
      <c r="J8" s="50" t="s"/>
      <c r="K8" s="50" t="s"/>
      <c r="L8" s="50" t="s"/>
      <c r="M8" s="50" t="s"/>
    </row>
    <row r="9" spans="1:13">
      <c r="A9" s="12" t="s"/>
      <c r="B9" s="12" t="s"/>
      <c r="C9" s="5" t="s">
        <v>99</v>
      </c>
      <c r="D9" s="18">
        <v>450</v>
      </c>
      <c r="E9" s="18" t="s">
        <v>59</v>
      </c>
      <c r="F9" s="18">
        <v>2025</v>
      </c>
      <c r="G9" s="18">
        <v>60</v>
      </c>
      <c r="H9" s="18" t="s">
        <v>59</v>
      </c>
      <c r="I9" s="18">
        <v>270</v>
      </c>
      <c r="J9" s="50" t="s"/>
      <c r="K9" s="50" t="s"/>
      <c r="L9" s="50" t="s"/>
      <c r="M9" s="50" t="s"/>
    </row>
    <row r="10" spans="1:13">
      <c r="A10" s="12" t="s"/>
      <c r="B10" s="23">
        <v>5.4</v>
      </c>
      <c r="C10" s="5" t="s">
        <v>98</v>
      </c>
      <c r="D10" s="18">
        <v>18.75</v>
      </c>
      <c r="E10" s="18">
        <v>1.88</v>
      </c>
      <c r="F10" s="18">
        <v>112.5</v>
      </c>
      <c r="G10" s="18">
        <v>2.5</v>
      </c>
      <c r="H10" s="18">
        <v>0.25</v>
      </c>
      <c r="I10" s="18">
        <v>15</v>
      </c>
      <c r="J10" s="50" t="s"/>
      <c r="K10" s="50" t="s"/>
      <c r="L10" s="50" t="s"/>
      <c r="M10" s="50" t="s"/>
    </row>
    <row r="11" spans="1:13">
      <c r="A11" s="12" t="s"/>
      <c r="B11" s="12" t="s"/>
      <c r="C11" s="5" t="s">
        <v>99</v>
      </c>
      <c r="D11" s="18">
        <v>37.5</v>
      </c>
      <c r="E11" s="18">
        <v>3.75</v>
      </c>
      <c r="F11" s="18">
        <v>168.75</v>
      </c>
      <c r="G11" s="18">
        <v>5</v>
      </c>
      <c r="H11" s="18">
        <v>0.5</v>
      </c>
      <c r="I11" s="18">
        <v>22.5</v>
      </c>
      <c r="J11" s="50" t="s"/>
      <c r="K11" s="50" t="s"/>
      <c r="L11" s="50" t="s"/>
      <c r="M11" s="50" t="s"/>
    </row>
    <row r="12" spans="1:13">
      <c r="A12" s="12" t="s"/>
      <c r="B12" s="55" t="s">
        <v>101</v>
      </c>
      <c r="C12" s="5" t="s">
        <v>59</v>
      </c>
      <c r="D12" s="43">
        <v>13.13</v>
      </c>
      <c r="E12" s="43">
        <f>=H12*7.5</f>
        <v>1.35</v>
      </c>
      <c r="F12" s="43">
        <f>=I12*7.5</f>
        <v>105</v>
      </c>
      <c r="G12" s="43">
        <v>1.75</v>
      </c>
      <c r="H12" s="43">
        <v>0.18</v>
      </c>
      <c r="I12" s="43">
        <v>14</v>
      </c>
      <c r="J12" s="50" t="s"/>
      <c r="K12" s="50" t="s"/>
      <c r="L12" s="50" t="s"/>
      <c r="M12" s="50" t="s"/>
    </row>
    <row r="13" spans="1:13">
      <c r="A13" s="12" t="s"/>
      <c r="B13" s="23">
        <v>5.2</v>
      </c>
      <c r="C13" s="5" t="s">
        <v>59</v>
      </c>
      <c r="D13" s="18">
        <v>12.25</v>
      </c>
      <c r="E13" s="18">
        <v>1.22</v>
      </c>
      <c r="F13" s="18">
        <v>98</v>
      </c>
      <c r="G13" s="18">
        <v>1.75</v>
      </c>
      <c r="H13" s="18">
        <v>0.175</v>
      </c>
      <c r="I13" s="18">
        <v>14</v>
      </c>
      <c r="J13" s="50" t="s"/>
      <c r="K13" s="50" t="s"/>
      <c r="L13" s="50" t="s"/>
      <c r="M13" s="50" t="s"/>
    </row>
    <row r="14" spans="1:13">
      <c r="A14" s="12" t="s"/>
      <c r="B14" s="23">
        <v>5.1</v>
      </c>
      <c r="C14" s="5" t="s">
        <v>59</v>
      </c>
      <c r="D14" s="18">
        <v>8.75</v>
      </c>
      <c r="E14" s="18">
        <v>0.87</v>
      </c>
      <c r="F14" s="18">
        <v>70</v>
      </c>
      <c r="G14" s="18">
        <v>1.25</v>
      </c>
      <c r="H14" s="18">
        <v>0.125</v>
      </c>
      <c r="I14" s="18">
        <v>10</v>
      </c>
      <c r="J14" s="50" t="s"/>
      <c r="K14" s="50" t="s"/>
      <c r="L14" s="50" t="s"/>
      <c r="M14" s="50" t="s"/>
    </row>
    <row r="15" spans="1:13">
      <c r="A15" s="12" t="s"/>
      <c r="B15" s="31" t="s">
        <v>102</v>
      </c>
      <c r="C15" s="5" t="s">
        <v>59</v>
      </c>
      <c r="D15" s="18">
        <f>=G15*7.5</f>
        <v>37.5</v>
      </c>
      <c r="E15" s="18">
        <f>=H15*7.5</f>
        <v>3.75</v>
      </c>
      <c r="F15" s="18">
        <f>=I15*7.5</f>
        <v>225</v>
      </c>
      <c r="G15" s="18">
        <v>5</v>
      </c>
      <c r="H15" s="18">
        <v>0.5</v>
      </c>
      <c r="I15" s="18">
        <v>30</v>
      </c>
      <c r="J15" s="50" t="s"/>
      <c r="K15" s="50" t="s"/>
      <c r="L15" s="50" t="s"/>
      <c r="M15" s="50" t="s"/>
    </row>
    <row r="16" spans="1:13">
      <c r="A16" s="12" t="s"/>
      <c r="B16" s="55" t="s">
        <v>103</v>
      </c>
      <c r="C16" s="5" t="s">
        <v>59</v>
      </c>
      <c r="D16" s="43">
        <v>13.13</v>
      </c>
      <c r="E16" s="43">
        <f>=H16*7.5</f>
        <v>1.35</v>
      </c>
      <c r="F16" s="43">
        <f>=I16*7.5</f>
        <v>105</v>
      </c>
      <c r="G16" s="43">
        <v>1.75</v>
      </c>
      <c r="H16" s="43">
        <v>0.18</v>
      </c>
      <c r="I16" s="43">
        <v>14</v>
      </c>
      <c r="J16" s="50" t="s"/>
      <c r="K16" s="50" t="s"/>
      <c r="L16" s="50" t="s"/>
      <c r="M16" s="50" t="s"/>
    </row>
    <row r="17" spans="1:13">
      <c r="A17" s="12" t="s"/>
      <c r="B17" s="55" t="s">
        <v>104</v>
      </c>
      <c r="C17" s="5" t="s">
        <v>59</v>
      </c>
      <c r="D17" s="43">
        <v>13.13</v>
      </c>
      <c r="E17" s="43">
        <f>=H17*7.5</f>
        <v>1.35</v>
      </c>
      <c r="F17" s="43">
        <f>=I17*7.5</f>
        <v>105</v>
      </c>
      <c r="G17" s="43">
        <v>1.75</v>
      </c>
      <c r="H17" s="43">
        <v>0.18</v>
      </c>
      <c r="I17" s="43">
        <v>14</v>
      </c>
      <c r="J17" s="50" t="s"/>
      <c r="K17" s="50" t="s"/>
      <c r="L17" s="50" t="s"/>
      <c r="M17" s="50" t="s"/>
    </row>
    <row r="18" spans="1:13">
      <c r="A18" s="12" t="s"/>
      <c r="B18" s="46" t="s">
        <v>280</v>
      </c>
      <c r="C18" s="5" t="s">
        <v>59</v>
      </c>
      <c r="D18" s="18">
        <v>9.37</v>
      </c>
      <c r="E18" s="18">
        <v>0.93</v>
      </c>
      <c r="F18" s="18">
        <v>75</v>
      </c>
      <c r="G18" s="18">
        <v>1.25</v>
      </c>
      <c r="H18" s="18">
        <v>0.125</v>
      </c>
      <c r="I18" s="18">
        <v>10</v>
      </c>
      <c r="J18" s="50" t="s"/>
      <c r="K18" s="50" t="s"/>
      <c r="L18" s="50" t="s"/>
      <c r="M18" s="50" t="s"/>
    </row>
    <row r="19" spans="1:13">
      <c r="A19" s="12" t="s"/>
      <c r="B19" s="46" t="s">
        <v>281</v>
      </c>
      <c r="C19" s="5" t="s">
        <v>59</v>
      </c>
      <c r="D19" s="18">
        <v>9.37</v>
      </c>
      <c r="E19" s="18">
        <v>0.93</v>
      </c>
      <c r="F19" s="18">
        <v>75</v>
      </c>
      <c r="G19" s="18">
        <v>1.25</v>
      </c>
      <c r="H19" s="18">
        <v>0.125</v>
      </c>
      <c r="I19" s="18">
        <v>10</v>
      </c>
      <c r="J19" s="50" t="s"/>
      <c r="K19" s="50" t="s"/>
      <c r="L19" s="50" t="s"/>
      <c r="M19" s="50" t="s"/>
    </row>
    <row r="20" spans="1:13">
      <c r="A20" s="12" t="s"/>
      <c r="B20" s="55" t="s">
        <v>105</v>
      </c>
      <c r="C20" s="5" t="s">
        <v>59</v>
      </c>
      <c r="D20" s="43">
        <f>=G20*7.5</f>
        <v>1.5</v>
      </c>
      <c r="E20" s="43">
        <f>=H20*7.5</f>
        <v>0.15</v>
      </c>
      <c r="F20" s="43">
        <f>=I20*7.5</f>
        <v>9.375</v>
      </c>
      <c r="G20" s="43">
        <v>0.2</v>
      </c>
      <c r="H20" s="43">
        <v>0.02</v>
      </c>
      <c r="I20" s="43">
        <v>1.25</v>
      </c>
      <c r="J20" s="50" t="s"/>
      <c r="K20" s="50" t="s"/>
      <c r="L20" s="50" t="s"/>
      <c r="M20" s="50" t="s"/>
    </row>
    <row r="21" spans="1:13">
      <c r="A21" s="12" t="s"/>
      <c r="B21" s="5" t="s">
        <v>106</v>
      </c>
      <c r="C21" s="5" t="s">
        <v>59</v>
      </c>
      <c r="D21" s="18">
        <v>0.37</v>
      </c>
      <c r="E21" s="18">
        <v>0.03</v>
      </c>
      <c r="F21" s="18">
        <v>3</v>
      </c>
      <c r="G21" s="18">
        <v>0.05</v>
      </c>
      <c r="H21" s="18">
        <v>0.005</v>
      </c>
      <c r="I21" s="18">
        <v>0.4</v>
      </c>
      <c r="J21" s="50" t="s"/>
      <c r="K21" s="50" t="s"/>
      <c r="L21" s="50" t="s"/>
      <c r="M21" s="50" t="s"/>
    </row>
    <row r="22" spans="1:13">
      <c r="A22" s="12" t="s"/>
      <c r="B22" s="16" t="s">
        <v>107</v>
      </c>
      <c r="C22" s="5" t="s">
        <v>59</v>
      </c>
      <c r="D22" s="18">
        <v>5.63</v>
      </c>
      <c r="E22" s="18">
        <v>0.56</v>
      </c>
      <c r="F22" s="18">
        <v>33.75</v>
      </c>
      <c r="G22" s="18">
        <v>0.75</v>
      </c>
      <c r="H22" s="18">
        <v>0.075</v>
      </c>
      <c r="I22" s="18">
        <v>4.5</v>
      </c>
      <c r="J22" s="50" t="s"/>
      <c r="K22" s="50" t="s"/>
      <c r="L22" s="50" t="s"/>
      <c r="M22" s="50" t="s"/>
    </row>
    <row r="23" spans="1:13">
      <c r="A23" s="12" t="s"/>
      <c r="B23" s="46" t="s">
        <v>282</v>
      </c>
      <c r="C23" s="5" t="s">
        <v>59</v>
      </c>
      <c r="D23" s="18">
        <f>=G23*7.5</f>
        <v>1.875</v>
      </c>
      <c r="E23" s="18">
        <f>=H23*7.5</f>
        <v>0.1875</v>
      </c>
      <c r="F23" s="18">
        <f>=I23*7.5</f>
        <v>15</v>
      </c>
      <c r="G23" s="18">
        <v>0.25</v>
      </c>
      <c r="H23" s="18">
        <v>0.025</v>
      </c>
      <c r="I23" s="18">
        <v>2</v>
      </c>
      <c r="J23" s="50" t="s"/>
      <c r="K23" s="50" t="s"/>
      <c r="L23" s="50" t="s"/>
      <c r="M23" s="50" t="s"/>
    </row>
    <row r="24" spans="1:13">
      <c r="A24" s="5" t="s"/>
      <c r="B24" s="23" t="s">
        <v>108</v>
      </c>
      <c r="C24" s="5" t="s">
        <v>59</v>
      </c>
      <c r="D24" s="18">
        <v>9.37</v>
      </c>
      <c r="E24" s="18">
        <v>0.93</v>
      </c>
      <c r="F24" s="18">
        <v>75</v>
      </c>
      <c r="G24" s="18">
        <v>1.25</v>
      </c>
      <c r="H24" s="18">
        <v>0.125</v>
      </c>
      <c r="I24" s="18">
        <v>10</v>
      </c>
      <c r="J24" s="50" t="s"/>
      <c r="K24" s="50" t="s"/>
      <c r="L24" s="50" t="s"/>
      <c r="M24" s="50" t="s"/>
    </row>
    <row r="25" spans="1:13">
      <c r="A25" s="12" t="s"/>
      <c r="B25" s="23">
        <v>5</v>
      </c>
      <c r="C25" s="5" t="s">
        <v>59</v>
      </c>
      <c r="D25" s="18">
        <v>9.37</v>
      </c>
      <c r="E25" s="18">
        <v>0.93</v>
      </c>
      <c r="F25" s="18">
        <v>75</v>
      </c>
      <c r="G25" s="18">
        <v>1.25</v>
      </c>
      <c r="H25" s="18">
        <v>0.125</v>
      </c>
      <c r="I25" s="18">
        <v>10</v>
      </c>
      <c r="J25" s="50" t="s"/>
      <c r="K25" s="50" t="s"/>
      <c r="L25" s="50" t="s"/>
      <c r="M25" s="50" t="s"/>
    </row>
    <row r="26" spans="1:13">
      <c r="A26" s="12" t="s"/>
      <c r="B26" s="46" t="s">
        <v>283</v>
      </c>
      <c r="C26" s="5" t="s">
        <v>59</v>
      </c>
      <c r="D26" s="18">
        <f>=G26*7.5</f>
        <v>15</v>
      </c>
      <c r="E26" s="18">
        <f>=H26*7.5</f>
        <v>3.75</v>
      </c>
      <c r="F26" s="18">
        <f>=I26*7.5</f>
        <v>60</v>
      </c>
      <c r="G26" s="18">
        <v>2</v>
      </c>
      <c r="H26" s="18">
        <v>0.5</v>
      </c>
      <c r="I26" s="18">
        <v>8</v>
      </c>
      <c r="J26" s="50" t="s"/>
      <c r="K26" s="50" t="s"/>
      <c r="L26" s="50" t="s"/>
      <c r="M26" s="50" t="s"/>
    </row>
    <row r="27" spans="1:13">
      <c r="A27" s="12" t="s"/>
      <c r="B27" s="5" t="s">
        <v>109</v>
      </c>
      <c r="C27" s="5" t="s">
        <v>59</v>
      </c>
      <c r="D27" s="18">
        <v>18.75</v>
      </c>
      <c r="E27" s="18">
        <v>9.37</v>
      </c>
      <c r="F27" s="18">
        <v>75</v>
      </c>
      <c r="G27" s="18">
        <v>2.5</v>
      </c>
      <c r="H27" s="18">
        <v>1.25</v>
      </c>
      <c r="I27" s="18">
        <v>10</v>
      </c>
      <c r="J27" s="50" t="s"/>
      <c r="K27" s="50" t="s"/>
      <c r="L27" s="50" t="s"/>
      <c r="M27" s="50" t="s"/>
    </row>
    <row r="28" spans="1:13">
      <c r="A28" s="5" t="s">
        <v>73</v>
      </c>
      <c r="B28" s="56" t="s">
        <v>284</v>
      </c>
      <c r="C28" s="5" t="s">
        <v>110</v>
      </c>
      <c r="D28" s="18">
        <f>=G28*7.5</f>
        <v>11.25</v>
      </c>
      <c r="E28" s="18">
        <f>=H28*7.5</f>
        <v>1.125</v>
      </c>
      <c r="F28" s="18">
        <f>=I28*7.5</f>
        <v>67.5</v>
      </c>
      <c r="G28" s="57">
        <v>1.5</v>
      </c>
      <c r="H28" s="57">
        <v>0.15</v>
      </c>
      <c r="I28" s="57">
        <v>9</v>
      </c>
      <c r="J28" s="50" t="s"/>
      <c r="K28" s="50" t="s"/>
      <c r="L28" s="50" t="s"/>
      <c r="M28" s="50" t="s"/>
    </row>
    <row r="29" spans="1:13">
      <c r="A29" s="12" t="s"/>
      <c r="B29" s="12" t="s"/>
      <c r="C29" s="5" t="s">
        <v>111</v>
      </c>
      <c r="D29" s="18">
        <f>=G29*7.5</f>
        <v>11.25</v>
      </c>
      <c r="E29" s="18">
        <f>=H29*7.5</f>
        <v>1.125</v>
      </c>
      <c r="F29" s="18">
        <f>=I29*7.5</f>
        <v>67.5</v>
      </c>
      <c r="G29" s="57">
        <v>1.5</v>
      </c>
      <c r="H29" s="57">
        <v>0.15</v>
      </c>
      <c r="I29" s="57">
        <v>9</v>
      </c>
      <c r="J29" s="50" t="s"/>
      <c r="K29" s="50" t="s"/>
      <c r="L29" s="50" t="s"/>
      <c r="M29" s="50" t="s"/>
    </row>
    <row r="30" spans="1:13">
      <c r="A30" s="12" t="s"/>
      <c r="B30" s="5" t="s">
        <v>112</v>
      </c>
      <c r="C30" s="5" t="s">
        <v>113</v>
      </c>
      <c r="D30" s="18">
        <v>15</v>
      </c>
      <c r="E30" s="18">
        <v>1.5</v>
      </c>
      <c r="F30" s="18">
        <v>90</v>
      </c>
      <c r="G30" s="57">
        <v>2</v>
      </c>
      <c r="H30" s="57">
        <v>0.2</v>
      </c>
      <c r="I30" s="57">
        <v>12</v>
      </c>
      <c r="J30" s="50" t="s"/>
      <c r="K30" s="50" t="s"/>
      <c r="L30" s="50" t="s"/>
      <c r="M30" s="50" t="s"/>
    </row>
    <row r="31" spans="1:13">
      <c r="A31" s="12" t="s"/>
      <c r="B31" s="12" t="s"/>
      <c r="C31" s="5" t="s">
        <v>114</v>
      </c>
      <c r="D31" s="18">
        <v>30</v>
      </c>
      <c r="E31" s="18">
        <v>3</v>
      </c>
      <c r="F31" s="18">
        <v>135</v>
      </c>
      <c r="G31" s="57">
        <v>4</v>
      </c>
      <c r="H31" s="57">
        <v>0.4</v>
      </c>
      <c r="I31" s="57">
        <v>18</v>
      </c>
      <c r="J31" s="50" t="s"/>
      <c r="K31" s="50" t="s"/>
      <c r="L31" s="50" t="s"/>
      <c r="M31" s="50" t="s"/>
    </row>
    <row r="32" spans="1:13">
      <c r="A32" s="12" t="s"/>
      <c r="B32" s="46" t="s">
        <v>285</v>
      </c>
      <c r="C32" s="5" t="s">
        <v>110</v>
      </c>
      <c r="D32" s="18">
        <v>1.87</v>
      </c>
      <c r="E32" s="18">
        <v>0.18</v>
      </c>
      <c r="F32" s="18">
        <v>11.25</v>
      </c>
      <c r="G32" s="57">
        <v>0.25</v>
      </c>
      <c r="H32" s="57">
        <v>0.025</v>
      </c>
      <c r="I32" s="57">
        <v>1.5</v>
      </c>
      <c r="J32" s="50" t="s"/>
      <c r="K32" s="50" t="s"/>
      <c r="L32" s="50" t="s"/>
      <c r="M32" s="50" t="s"/>
    </row>
    <row r="33" spans="1:13">
      <c r="A33" s="12" t="s"/>
      <c r="B33" s="12" t="s"/>
      <c r="C33" s="5" t="s">
        <v>111</v>
      </c>
      <c r="D33" s="18">
        <v>3.75</v>
      </c>
      <c r="E33" s="18">
        <v>0.37</v>
      </c>
      <c r="F33" s="18">
        <v>11.25</v>
      </c>
      <c r="G33" s="57">
        <v>0.5</v>
      </c>
      <c r="H33" s="57">
        <v>0.05</v>
      </c>
      <c r="I33" s="57">
        <v>1.5</v>
      </c>
      <c r="J33" s="50" t="s"/>
      <c r="K33" s="50" t="s"/>
      <c r="L33" s="50" t="s"/>
      <c r="M33" s="50" t="s"/>
    </row>
    <row r="34" spans="1:13">
      <c r="A34" s="12" t="s"/>
      <c r="B34" s="5" t="s">
        <v>115</v>
      </c>
      <c r="C34" s="5" t="s">
        <v>110</v>
      </c>
      <c r="D34" s="18">
        <v>1.87</v>
      </c>
      <c r="E34" s="18">
        <v>0.18</v>
      </c>
      <c r="F34" s="18">
        <v>11.25</v>
      </c>
      <c r="G34" s="57">
        <v>0.25</v>
      </c>
      <c r="H34" s="57">
        <v>0.025</v>
      </c>
      <c r="I34" s="57">
        <v>1.5</v>
      </c>
      <c r="J34" s="50" t="s"/>
      <c r="K34" s="50" t="s"/>
      <c r="L34" s="50" t="s"/>
      <c r="M34" s="50" t="s"/>
    </row>
    <row r="35" spans="1:13">
      <c r="A35" s="12" t="s"/>
      <c r="B35" s="12" t="s"/>
      <c r="C35" s="5" t="s">
        <v>111</v>
      </c>
      <c r="D35" s="18">
        <v>3.75</v>
      </c>
      <c r="E35" s="18">
        <v>0.37</v>
      </c>
      <c r="F35" s="18">
        <v>11.25</v>
      </c>
      <c r="G35" s="57">
        <v>0.5</v>
      </c>
      <c r="H35" s="57">
        <v>0.05</v>
      </c>
      <c r="I35" s="57">
        <v>1.5</v>
      </c>
      <c r="J35" s="50" t="s"/>
      <c r="K35" s="50" t="s"/>
      <c r="L35" s="50" t="s"/>
      <c r="M35" s="50" t="s"/>
    </row>
    <row r="36" spans="1:13">
      <c r="A36" s="12" t="s"/>
      <c r="B36" s="5" t="s">
        <v>116</v>
      </c>
      <c r="C36" s="5" t="s">
        <v>110</v>
      </c>
      <c r="D36" s="18">
        <v>3.5</v>
      </c>
      <c r="E36" s="18">
        <v>0.35</v>
      </c>
      <c r="F36" s="18">
        <v>21</v>
      </c>
      <c r="G36" s="57">
        <v>0.5</v>
      </c>
      <c r="H36" s="57">
        <v>0.05</v>
      </c>
      <c r="I36" s="57">
        <v>3</v>
      </c>
      <c r="J36" s="50" t="s"/>
      <c r="K36" s="50" t="s"/>
      <c r="L36" s="50" t="s"/>
      <c r="M36" s="50" t="s"/>
    </row>
    <row r="37" spans="1:13">
      <c r="A37" s="12" t="s"/>
      <c r="B37" s="12" t="s"/>
      <c r="C37" s="5" t="s">
        <v>111</v>
      </c>
      <c r="D37" s="18">
        <v>7</v>
      </c>
      <c r="E37" s="18">
        <v>0.7</v>
      </c>
      <c r="F37" s="18">
        <v>21</v>
      </c>
      <c r="G37" s="57">
        <v>1</v>
      </c>
      <c r="H37" s="57">
        <v>0.1</v>
      </c>
      <c r="I37" s="57">
        <v>3</v>
      </c>
      <c r="J37" s="50" t="s"/>
      <c r="K37" s="50" t="s"/>
      <c r="L37" s="50" t="s"/>
      <c r="M37" s="50" t="s"/>
    </row>
    <row r="38" spans="1:13">
      <c r="A38" s="12" t="s"/>
      <c r="B38" s="5" t="s">
        <v>117</v>
      </c>
      <c r="C38" s="5" t="s">
        <v>113</v>
      </c>
      <c r="D38" s="18">
        <v>9.37</v>
      </c>
      <c r="E38" s="18">
        <v>0.93</v>
      </c>
      <c r="F38" s="18">
        <v>75</v>
      </c>
      <c r="G38" s="18">
        <v>1.25</v>
      </c>
      <c r="H38" s="18">
        <v>0.125</v>
      </c>
      <c r="I38" s="18">
        <v>10</v>
      </c>
      <c r="J38" s="50" t="s"/>
      <c r="K38" s="50" t="s"/>
      <c r="L38" s="50" t="s"/>
      <c r="M38" s="50" t="s"/>
    </row>
    <row r="39" spans="1:13">
      <c r="A39" s="12" t="s"/>
      <c r="B39" s="12" t="s"/>
      <c r="C39" s="5" t="s">
        <v>114</v>
      </c>
      <c r="D39" s="18">
        <v>18.75</v>
      </c>
      <c r="E39" s="18">
        <v>1.87</v>
      </c>
      <c r="F39" s="18">
        <v>112.5</v>
      </c>
      <c r="G39" s="18">
        <v>2.5</v>
      </c>
      <c r="H39" s="18">
        <v>0.25</v>
      </c>
      <c r="I39" s="18">
        <v>15</v>
      </c>
      <c r="J39" s="50" t="s"/>
      <c r="K39" s="50" t="s"/>
      <c r="L39" s="50" t="s"/>
      <c r="M39" s="50" t="s"/>
    </row>
    <row r="40" spans="1:13">
      <c r="A40" s="12" t="s"/>
      <c r="B40" s="5" t="s">
        <v>118</v>
      </c>
      <c r="C40" s="5" t="s">
        <v>110</v>
      </c>
      <c r="D40" s="18">
        <v>2.25</v>
      </c>
      <c r="E40" s="18">
        <v>0.22</v>
      </c>
      <c r="F40" s="18">
        <v>18.75</v>
      </c>
      <c r="G40" s="18">
        <v>0.3</v>
      </c>
      <c r="H40" s="18">
        <v>0.03</v>
      </c>
      <c r="I40" s="18">
        <v>2.5</v>
      </c>
      <c r="J40" s="50" t="s"/>
      <c r="K40" s="50" t="s"/>
      <c r="L40" s="50" t="s"/>
      <c r="M40" s="50" t="s"/>
    </row>
    <row r="41" spans="1:13">
      <c r="A41" s="12" t="s"/>
      <c r="B41" s="12" t="s"/>
      <c r="C41" s="5" t="s">
        <v>111</v>
      </c>
      <c r="D41" s="18">
        <v>7.5</v>
      </c>
      <c r="E41" s="18">
        <v>0.75</v>
      </c>
      <c r="F41" s="18">
        <v>18.75</v>
      </c>
      <c r="G41" s="18">
        <v>1</v>
      </c>
      <c r="H41" s="18">
        <v>0.1</v>
      </c>
      <c r="I41" s="18">
        <v>2.5</v>
      </c>
      <c r="J41" s="50" t="s"/>
      <c r="K41" s="50" t="s"/>
      <c r="L41" s="50" t="s"/>
      <c r="M41" s="50" t="s"/>
    </row>
    <row r="42" spans="1:13">
      <c r="A42" s="58" t="s">
        <v>119</v>
      </c>
      <c r="B42" s="46" t="s">
        <v>286</v>
      </c>
      <c r="C42" s="5" t="s">
        <v>120</v>
      </c>
      <c r="D42" s="18">
        <v>6</v>
      </c>
      <c r="E42" s="18">
        <v>1.3</v>
      </c>
      <c r="F42" s="18">
        <v>24</v>
      </c>
      <c r="G42" s="18">
        <v>0.924</v>
      </c>
      <c r="H42" s="18">
        <v>0.2</v>
      </c>
      <c r="I42" s="18">
        <v>3.696</v>
      </c>
      <c r="J42" s="50" t="s"/>
      <c r="K42" s="50" t="s"/>
      <c r="L42" s="50" t="s"/>
      <c r="M42" s="50" t="s"/>
    </row>
    <row r="43" spans="1:13">
      <c r="A43" s="34" t="s"/>
      <c r="B43" s="12" t="s"/>
      <c r="C43" s="5" t="s">
        <v>121</v>
      </c>
      <c r="D43" s="18">
        <v>8</v>
      </c>
      <c r="E43" s="18">
        <v>2</v>
      </c>
      <c r="F43" s="18">
        <v>28</v>
      </c>
      <c r="G43" s="18">
        <v>1.232</v>
      </c>
      <c r="H43" s="18">
        <v>0.308</v>
      </c>
      <c r="I43" s="18">
        <v>4.312</v>
      </c>
      <c r="J43" s="50" t="s"/>
      <c r="K43" s="50" t="s"/>
      <c r="L43" s="50" t="s"/>
      <c r="M43" s="50" t="s"/>
    </row>
    <row r="44" spans="1:13">
      <c r="A44" s="34" t="s"/>
      <c r="B44" s="5" t="s">
        <v>122</v>
      </c>
      <c r="C44" s="5" t="s">
        <v>120</v>
      </c>
      <c r="D44" s="18">
        <v>5</v>
      </c>
      <c r="E44" s="18">
        <v>1.2</v>
      </c>
      <c r="F44" s="18">
        <v>22</v>
      </c>
      <c r="G44" s="18">
        <v>0.77</v>
      </c>
      <c r="H44" s="18">
        <v>0.185</v>
      </c>
      <c r="I44" s="18">
        <v>3.388</v>
      </c>
      <c r="J44" s="50" t="s"/>
      <c r="K44" s="50" t="s"/>
      <c r="L44" s="50" t="s"/>
      <c r="M44" s="50" t="s"/>
    </row>
    <row r="45" spans="1:13">
      <c r="A45" s="34" t="s"/>
      <c r="B45" s="12" t="s"/>
      <c r="C45" s="5" t="s">
        <v>121</v>
      </c>
      <c r="D45" s="18">
        <v>7</v>
      </c>
      <c r="E45" s="18">
        <v>1.8</v>
      </c>
      <c r="F45" s="18">
        <v>26</v>
      </c>
      <c r="G45" s="18">
        <v>1.078</v>
      </c>
      <c r="H45" s="18">
        <v>0.277</v>
      </c>
      <c r="I45" s="18">
        <v>4.004</v>
      </c>
      <c r="J45" s="50" t="s"/>
      <c r="K45" s="50" t="s"/>
      <c r="L45" s="50" t="s"/>
      <c r="M45" s="50" t="s"/>
    </row>
    <row r="46" spans="1:13">
      <c r="A46" s="34" t="s"/>
      <c r="B46" s="23">
        <v>5</v>
      </c>
      <c r="C46" s="5" t="s">
        <v>120</v>
      </c>
      <c r="D46" s="18">
        <v>4</v>
      </c>
      <c r="E46" s="18">
        <v>1</v>
      </c>
      <c r="F46" s="18">
        <v>18</v>
      </c>
      <c r="G46" s="18">
        <v>0.616</v>
      </c>
      <c r="H46" s="18">
        <v>0.154</v>
      </c>
      <c r="I46" s="18">
        <v>2.772</v>
      </c>
      <c r="J46" s="50" t="s"/>
      <c r="K46" s="50" t="s"/>
      <c r="L46" s="50" t="s"/>
      <c r="M46" s="50" t="s"/>
    </row>
    <row r="47" spans="1:13">
      <c r="A47" s="34" t="s"/>
      <c r="B47" s="12" t="s"/>
      <c r="C47" s="5" t="s">
        <v>121</v>
      </c>
      <c r="D47" s="18">
        <v>6</v>
      </c>
      <c r="E47" s="18">
        <v>1.5</v>
      </c>
      <c r="F47" s="18">
        <v>22</v>
      </c>
      <c r="G47" s="18">
        <v>0.924</v>
      </c>
      <c r="H47" s="18">
        <v>0.231</v>
      </c>
      <c r="I47" s="18">
        <v>3.388</v>
      </c>
      <c r="J47" s="50" t="s"/>
      <c r="K47" s="50" t="s"/>
      <c r="L47" s="50" t="s"/>
      <c r="M47" s="50" t="s"/>
    </row>
    <row r="48" spans="1:13">
      <c r="A48" s="34" t="s"/>
      <c r="B48" s="59">
        <v>4.7</v>
      </c>
      <c r="C48" s="5" t="s">
        <v>123</v>
      </c>
      <c r="D48" s="18">
        <v>2</v>
      </c>
      <c r="E48" s="18">
        <v>0.4</v>
      </c>
      <c r="F48" s="18">
        <v>8</v>
      </c>
      <c r="G48" s="18">
        <v>0.308</v>
      </c>
      <c r="H48" s="18">
        <v>0.062</v>
      </c>
      <c r="I48" s="18">
        <v>1.232</v>
      </c>
      <c r="J48" s="50" t="s"/>
      <c r="K48" s="50" t="s"/>
      <c r="L48" s="50" t="s"/>
      <c r="M48" s="50" t="s"/>
    </row>
    <row r="49" spans="1:13">
      <c r="A49" s="34" t="s"/>
      <c r="B49" s="34" t="s"/>
      <c r="C49" s="5" t="s">
        <v>124</v>
      </c>
      <c r="D49" s="18">
        <v>3</v>
      </c>
      <c r="E49" s="18">
        <v>0.6</v>
      </c>
      <c r="F49" s="18">
        <v>14</v>
      </c>
      <c r="G49" s="18">
        <v>0.462</v>
      </c>
      <c r="H49" s="18">
        <v>0.092</v>
      </c>
      <c r="I49" s="18">
        <v>2.156</v>
      </c>
      <c r="J49" s="50" t="s"/>
      <c r="K49" s="50" t="s"/>
      <c r="L49" s="50" t="s"/>
      <c r="M49" s="50" t="s"/>
    </row>
    <row r="50" spans="1:13">
      <c r="A50" s="34" t="s"/>
      <c r="B50" s="34" t="s"/>
      <c r="C50" s="58" t="s">
        <v>121</v>
      </c>
      <c r="D50" s="54">
        <v>4</v>
      </c>
      <c r="E50" s="54">
        <v>0.8</v>
      </c>
      <c r="F50" s="54">
        <v>16</v>
      </c>
      <c r="G50" s="54">
        <v>0.616</v>
      </c>
      <c r="H50" s="54">
        <v>0.123</v>
      </c>
      <c r="I50" s="54">
        <v>2.464</v>
      </c>
      <c r="J50" s="50" t="s"/>
      <c r="K50" s="50" t="s"/>
      <c r="L50" s="50" t="s"/>
      <c r="M50" s="50" t="s"/>
    </row>
    <row r="51" spans="1:13">
      <c r="A51" s="39" t="s">
        <v>125</v>
      </c>
      <c r="B51" s="60" t="s">
        <v>287</v>
      </c>
      <c r="C51" s="61" t="s"/>
      <c r="D51" s="57">
        <v>6.5</v>
      </c>
      <c r="E51" s="57">
        <v>1.1</v>
      </c>
      <c r="F51" s="57">
        <v>27</v>
      </c>
      <c r="G51" s="18">
        <v>1.001</v>
      </c>
      <c r="H51" s="18">
        <f>=E51/6.5</f>
        <v>0.169230769230769</v>
      </c>
      <c r="I51" s="18">
        <v>4.158</v>
      </c>
      <c r="J51" s="50" t="s"/>
      <c r="K51" s="50" t="s"/>
      <c r="L51" s="50" t="s"/>
      <c r="M51" s="50" t="s"/>
    </row>
    <row r="52" spans="1:13">
      <c r="A52" s="41" t="s"/>
      <c r="B52" s="60" t="s">
        <v>288</v>
      </c>
      <c r="C52" s="61" t="s"/>
      <c r="D52" s="62">
        <v>4</v>
      </c>
      <c r="E52" s="62">
        <v>0.7</v>
      </c>
      <c r="F52" s="62">
        <v>21</v>
      </c>
      <c r="G52" s="43">
        <v>0.616</v>
      </c>
      <c r="H52" s="43">
        <v>0.108</v>
      </c>
      <c r="I52" s="43">
        <v>3.234</v>
      </c>
      <c r="J52" s="50" t="s"/>
      <c r="K52" s="50" t="s"/>
      <c r="L52" s="50" t="s"/>
      <c r="M52" s="50" t="s"/>
    </row>
    <row r="53" spans="1:13">
      <c r="A53" s="5" t="s">
        <v>126</v>
      </c>
      <c r="B53" s="23">
        <v>4.3</v>
      </c>
      <c r="C53" s="63" t="s"/>
      <c r="D53" s="18" t="s">
        <v>59</v>
      </c>
      <c r="E53" s="18" t="s">
        <v>59</v>
      </c>
      <c r="F53" s="18" t="s">
        <v>59</v>
      </c>
      <c r="G53" s="18">
        <v>1.25</v>
      </c>
      <c r="H53" s="18">
        <v>0.2</v>
      </c>
      <c r="I53" s="18">
        <v>2.5</v>
      </c>
      <c r="J53" s="50" t="s"/>
      <c r="K53" s="50" t="s"/>
      <c r="L53" s="50" t="s"/>
      <c r="M53" s="50" t="s"/>
    </row>
    <row r="54" spans="1:13">
      <c r="A54" s="12" t="s"/>
      <c r="B54" s="46" t="s">
        <v>289</v>
      </c>
      <c r="C54" s="63" t="s"/>
      <c r="D54" s="18" t="s">
        <v>59</v>
      </c>
      <c r="E54" s="18" t="s">
        <v>59</v>
      </c>
      <c r="F54" s="18" t="s">
        <v>59</v>
      </c>
      <c r="G54" s="18">
        <v>1.25</v>
      </c>
      <c r="H54" s="18">
        <v>0.2</v>
      </c>
      <c r="I54" s="18">
        <v>2.5</v>
      </c>
      <c r="J54" s="50" t="s"/>
      <c r="K54" s="50" t="s"/>
      <c r="L54" s="50" t="s"/>
      <c r="M54" s="50" t="s"/>
    </row>
    <row r="55" spans="1:13">
      <c r="A55" s="12" t="s"/>
      <c r="B55" s="5" t="s">
        <v>127</v>
      </c>
      <c r="C55" s="63" t="s"/>
      <c r="D55" s="18" t="s">
        <v>59</v>
      </c>
      <c r="E55" s="18" t="s">
        <v>59</v>
      </c>
      <c r="F55" s="18" t="s">
        <v>59</v>
      </c>
      <c r="G55" s="18">
        <v>2</v>
      </c>
      <c r="H55" s="18">
        <v>0.2</v>
      </c>
      <c r="I55" s="18">
        <v>6</v>
      </c>
      <c r="J55" s="50" t="s"/>
      <c r="K55" s="50" t="s"/>
      <c r="L55" s="50" t="s"/>
      <c r="M55" s="50" t="s"/>
    </row>
    <row r="56" spans="1:13">
      <c r="A56" s="12" t="s"/>
      <c r="B56" s="5" t="s">
        <v>128</v>
      </c>
      <c r="C56" s="63" t="s"/>
      <c r="D56" s="18" t="s">
        <v>59</v>
      </c>
      <c r="E56" s="18" t="s">
        <v>59</v>
      </c>
      <c r="F56" s="18" t="s">
        <v>59</v>
      </c>
      <c r="G56" s="18">
        <v>0.2</v>
      </c>
      <c r="H56" s="18">
        <v>0.05</v>
      </c>
      <c r="I56" s="18">
        <v>0.5</v>
      </c>
      <c r="J56" s="50" t="s"/>
      <c r="K56" s="50" t="s"/>
      <c r="L56" s="50" t="s"/>
      <c r="M56" s="50" t="s"/>
    </row>
    <row r="57" spans="1:13">
      <c r="A57" s="64" t="s">
        <v>129</v>
      </c>
      <c r="B57" s="5" t="s">
        <v>130</v>
      </c>
      <c r="C57" s="7" t="s"/>
      <c r="D57" s="65">
        <v>2</v>
      </c>
      <c r="E57" s="18">
        <v>0.2</v>
      </c>
      <c r="F57" s="18">
        <v>3</v>
      </c>
      <c r="G57" s="18">
        <v>0.28</v>
      </c>
      <c r="H57" s="65">
        <v>0.028</v>
      </c>
      <c r="I57" s="18">
        <v>0.42</v>
      </c>
      <c r="J57" s="66" t="s"/>
      <c r="K57" s="66" t="s"/>
      <c r="L57" s="50" t="s"/>
      <c r="M57" s="50" t="s"/>
    </row>
    <row r="58" spans="1:13">
      <c r="A58" s="12" t="s"/>
      <c r="B58" s="67" t="s">
        <v>290</v>
      </c>
      <c r="C58" s="68" t="s"/>
      <c r="D58" s="69">
        <v>3</v>
      </c>
      <c r="E58" s="70">
        <v>0.025</v>
      </c>
      <c r="F58" s="70">
        <v>6</v>
      </c>
      <c r="G58" s="70">
        <v>0.462</v>
      </c>
      <c r="H58" s="69">
        <v>0.004</v>
      </c>
      <c r="I58" s="70">
        <v>0.923</v>
      </c>
      <c r="J58" s="66" t="s"/>
      <c r="K58" s="66" t="s"/>
      <c r="L58" s="50" t="s"/>
      <c r="M58" s="50" t="s"/>
    </row>
    <row r="59" spans="1:13">
      <c r="A59" s="12" t="s"/>
      <c r="B59" s="67" t="s">
        <v>291</v>
      </c>
      <c r="C59" s="68" t="s"/>
      <c r="D59" s="71">
        <v>1</v>
      </c>
      <c r="E59" s="70">
        <v>0.02</v>
      </c>
      <c r="F59" s="70">
        <v>2</v>
      </c>
      <c r="G59" s="70">
        <f>=D59/6.5</f>
        <v>0.153846153846154</v>
      </c>
      <c r="H59" s="71">
        <f>=E59/6.5</f>
        <v>0.00307692307692308</v>
      </c>
      <c r="I59" s="70">
        <f>=F59/6.5</f>
        <v>0.307692307692308</v>
      </c>
      <c r="J59" s="72" t="s"/>
      <c r="K59" s="72" t="s"/>
      <c r="L59" s="50" t="s"/>
      <c r="M59" s="50" t="s"/>
    </row>
    <row r="60" spans="1:13">
      <c r="A60" s="73" t="s"/>
      <c r="B60" s="73" t="s"/>
      <c r="C60" s="73" t="s"/>
      <c r="D60" s="73" t="s"/>
      <c r="E60" s="73" t="s"/>
      <c r="F60" s="73" t="s"/>
      <c r="G60" s="73" t="s"/>
      <c r="H60" s="73" t="s"/>
      <c r="I60" s="73" t="s"/>
      <c r="J60" s="73" t="s"/>
      <c r="K60" s="73" t="s"/>
      <c r="L60" s="50" t="s"/>
      <c r="M60" s="50" t="s"/>
    </row>
    <row r="61" spans="1:13">
      <c r="A61" s="47" t="s">
        <v>87</v>
      </c>
      <c r="B61" s="12" t="s"/>
      <c r="C61" s="12" t="s"/>
      <c r="D61" s="48" t="s">
        <v>88</v>
      </c>
      <c r="E61" s="74" t="s"/>
      <c r="F61" s="74" t="s"/>
      <c r="G61" s="12" t="s"/>
      <c r="H61" s="49" t="s">
        <v>89</v>
      </c>
      <c r="I61" s="74" t="s"/>
      <c r="J61" s="74" t="s"/>
      <c r="K61" s="12" t="s"/>
      <c r="L61" s="50" t="s"/>
      <c r="M61" s="50" t="s"/>
    </row>
    <row r="62" spans="1:13">
      <c r="A62" s="4" t="s">
        <v>50</v>
      </c>
      <c r="B62" s="4" t="s">
        <v>51</v>
      </c>
      <c r="C62" s="4" t="s">
        <v>52</v>
      </c>
      <c r="D62" s="48" t="s">
        <v>90</v>
      </c>
      <c r="E62" s="48" t="s">
        <v>131</v>
      </c>
      <c r="F62" s="48" t="s">
        <v>132</v>
      </c>
      <c r="G62" s="48" t="s">
        <v>92</v>
      </c>
      <c r="H62" s="49" t="s">
        <v>90</v>
      </c>
      <c r="I62" s="49" t="s">
        <v>131</v>
      </c>
      <c r="J62" s="49" t="s">
        <v>132</v>
      </c>
      <c r="K62" s="49" t="s">
        <v>92</v>
      </c>
      <c r="L62" s="50" t="s"/>
      <c r="M62" s="50" t="s"/>
    </row>
    <row r="63" spans="1:13">
      <c r="A63" s="5" t="s">
        <v>133</v>
      </c>
      <c r="B63" s="5" t="s">
        <v>134</v>
      </c>
      <c r="C63" s="7" t="s"/>
      <c r="D63" s="18">
        <v>2.1</v>
      </c>
      <c r="E63" s="18">
        <v>0.42</v>
      </c>
      <c r="F63" s="18">
        <v>2.625</v>
      </c>
      <c r="G63" s="18">
        <v>8.4</v>
      </c>
      <c r="H63" s="57">
        <v>0.3</v>
      </c>
      <c r="I63" s="57">
        <v>0.06</v>
      </c>
      <c r="J63" s="57">
        <v>0.375</v>
      </c>
      <c r="K63" s="57">
        <v>1.2</v>
      </c>
      <c r="L63" s="50" t="s"/>
      <c r="M63" s="50" t="s"/>
    </row>
    <row r="64" spans="1:13">
      <c r="A64" s="75" t="s"/>
      <c r="B64" s="5" t="s">
        <v>135</v>
      </c>
      <c r="C64" s="7" t="s"/>
      <c r="D64" s="65">
        <v>2.1</v>
      </c>
      <c r="E64" s="18">
        <v>0.21</v>
      </c>
      <c r="F64" s="18">
        <v>2.625</v>
      </c>
      <c r="G64" s="18">
        <v>8.4</v>
      </c>
      <c r="H64" s="57">
        <v>0.3</v>
      </c>
      <c r="I64" s="76">
        <v>0.03</v>
      </c>
      <c r="J64" s="57">
        <v>0.375</v>
      </c>
      <c r="K64" s="57">
        <v>1.2</v>
      </c>
      <c r="L64" s="66" t="s"/>
      <c r="M64" s="66" t="s"/>
    </row>
    <row r="65" spans="1:13">
      <c r="A65" s="73" t="s"/>
      <c r="B65" s="73" t="s"/>
      <c r="C65" s="73" t="s"/>
      <c r="D65" s="77" t="s"/>
      <c r="E65" s="78" t="s"/>
      <c r="F65" s="78" t="s"/>
      <c r="G65" s="78" t="s"/>
      <c r="H65" s="78" t="s"/>
      <c r="I65" s="78" t="s"/>
      <c r="J65" s="78" t="s"/>
      <c r="K65" s="78" t="s"/>
      <c r="L65" s="78" t="s"/>
      <c r="M65" s="78" t="s"/>
    </row>
    <row r="66" spans="1:13">
      <c r="A66" s="47" t="s">
        <v>87</v>
      </c>
      <c r="B66" s="12" t="s"/>
      <c r="C66" s="12" t="s"/>
      <c r="D66" s="79" t="s">
        <v>136</v>
      </c>
      <c r="E66" s="80" t="s"/>
      <c r="F66" s="80" t="s"/>
      <c r="G66" s="80" t="s"/>
      <c r="H66" s="80" t="s"/>
      <c r="I66" s="49" t="s">
        <v>89</v>
      </c>
      <c r="J66" s="12" t="s"/>
      <c r="K66" s="12" t="s"/>
      <c r="L66" s="12" t="s"/>
      <c r="M66" s="12" t="s"/>
    </row>
    <row r="67" spans="1:13">
      <c r="A67" s="4" t="s">
        <v>50</v>
      </c>
      <c r="B67" s="4" t="s">
        <v>51</v>
      </c>
      <c r="C67" s="4" t="s">
        <v>52</v>
      </c>
      <c r="D67" s="81" t="s">
        <v>90</v>
      </c>
      <c r="E67" s="82" t="s">
        <v>137</v>
      </c>
      <c r="F67" s="82" t="s">
        <v>138</v>
      </c>
      <c r="G67" s="82" t="s">
        <v>139</v>
      </c>
      <c r="H67" s="82" t="s">
        <v>92</v>
      </c>
      <c r="I67" s="83" t="s">
        <v>90</v>
      </c>
      <c r="J67" s="83" t="s">
        <v>137</v>
      </c>
      <c r="K67" s="83" t="s">
        <v>138</v>
      </c>
      <c r="L67" s="83" t="s">
        <v>139</v>
      </c>
      <c r="M67" s="83" t="s">
        <v>92</v>
      </c>
    </row>
    <row r="68" spans="1:13">
      <c r="A68" s="58" t="s">
        <v>140</v>
      </c>
      <c r="B68" s="84" t="s">
        <v>292</v>
      </c>
      <c r="C68" s="63" t="s"/>
      <c r="D68" s="85" t="s"/>
      <c r="E68" s="85" t="s"/>
      <c r="F68" s="85" t="s"/>
      <c r="G68" s="85" t="s"/>
      <c r="H68" s="85" t="s"/>
      <c r="I68" s="18">
        <v>5</v>
      </c>
      <c r="J68" s="18">
        <v>6.25</v>
      </c>
      <c r="K68" s="18">
        <v>10</v>
      </c>
      <c r="L68" s="18">
        <v>0.5</v>
      </c>
      <c r="M68" s="18">
        <v>25</v>
      </c>
    </row>
    <row r="69" spans="1:13">
      <c r="A69" s="86" t="s"/>
      <c r="B69" s="5" t="s">
        <v>141</v>
      </c>
      <c r="C69" s="63" t="s"/>
      <c r="D69" s="85" t="s"/>
      <c r="E69" s="85" t="s"/>
      <c r="F69" s="85" t="s"/>
      <c r="G69" s="85" t="s"/>
      <c r="H69" s="85" t="s"/>
      <c r="I69" s="18">
        <v>5</v>
      </c>
      <c r="J69" s="18">
        <v>6.25</v>
      </c>
      <c r="K69" s="18">
        <v>10</v>
      </c>
      <c r="L69" s="18">
        <v>0.5</v>
      </c>
      <c r="M69" s="18">
        <v>25</v>
      </c>
    </row>
    <row r="70" spans="1:13">
      <c r="A70" s="86" t="s"/>
      <c r="B70" s="5" t="s">
        <v>142</v>
      </c>
      <c r="C70" s="63" t="s"/>
      <c r="D70" s="87" t="s">
        <v>59</v>
      </c>
      <c r="E70" s="87" t="s">
        <v>59</v>
      </c>
      <c r="F70" s="87" t="s">
        <v>59</v>
      </c>
      <c r="G70" s="87" t="s">
        <v>59</v>
      </c>
      <c r="H70" s="87" t="s">
        <v>59</v>
      </c>
      <c r="I70" s="18">
        <v>5</v>
      </c>
      <c r="J70" s="18">
        <v>6.25</v>
      </c>
      <c r="K70" s="18">
        <v>10</v>
      </c>
      <c r="L70" s="18">
        <v>0.5</v>
      </c>
      <c r="M70" s="18">
        <v>25</v>
      </c>
    </row>
    <row r="71" spans="1:13">
      <c r="A71" s="86" t="s"/>
      <c r="B71" s="5" t="s">
        <v>143</v>
      </c>
      <c r="C71" s="63" t="s"/>
      <c r="D71" s="87" t="s">
        <v>59</v>
      </c>
      <c r="E71" s="87" t="s">
        <v>59</v>
      </c>
      <c r="F71" s="87" t="s">
        <v>59</v>
      </c>
      <c r="G71" s="87" t="s">
        <v>59</v>
      </c>
      <c r="H71" s="87" t="s">
        <v>59</v>
      </c>
      <c r="I71" s="18">
        <v>5</v>
      </c>
      <c r="J71" s="18">
        <v>6.25</v>
      </c>
      <c r="K71" s="18">
        <v>10</v>
      </c>
      <c r="L71" s="18">
        <v>0.5</v>
      </c>
      <c r="M71" s="18">
        <v>25</v>
      </c>
    </row>
    <row r="72" spans="1:13">
      <c r="A72" s="86" t="s"/>
      <c r="B72" s="5" t="s">
        <v>144</v>
      </c>
      <c r="C72" s="63" t="s"/>
      <c r="D72" s="87" t="s">
        <v>59</v>
      </c>
      <c r="E72" s="87" t="s">
        <v>59</v>
      </c>
      <c r="F72" s="87" t="s">
        <v>59</v>
      </c>
      <c r="G72" s="87" t="s">
        <v>59</v>
      </c>
      <c r="H72" s="87" t="s">
        <v>59</v>
      </c>
      <c r="I72" s="18">
        <v>3</v>
      </c>
      <c r="J72" s="18">
        <v>3.75</v>
      </c>
      <c r="K72" s="18">
        <v>6</v>
      </c>
      <c r="L72" s="18">
        <v>0.3</v>
      </c>
      <c r="M72" s="18">
        <v>15</v>
      </c>
    </row>
    <row r="73" spans="1:13">
      <c r="A73" s="86" t="s"/>
      <c r="B73" s="5" t="s">
        <v>145</v>
      </c>
      <c r="C73" s="5" t="s">
        <v>146</v>
      </c>
      <c r="D73" s="87" t="s">
        <v>59</v>
      </c>
      <c r="E73" s="87" t="s">
        <v>59</v>
      </c>
      <c r="F73" s="87" t="s">
        <v>59</v>
      </c>
      <c r="G73" s="87" t="s">
        <v>59</v>
      </c>
      <c r="H73" s="87" t="s">
        <v>59</v>
      </c>
      <c r="I73" s="18">
        <v>3</v>
      </c>
      <c r="J73" s="18">
        <v>3.75</v>
      </c>
      <c r="K73" s="18">
        <v>6</v>
      </c>
      <c r="L73" s="18">
        <v>0.3</v>
      </c>
      <c r="M73" s="18">
        <v>15</v>
      </c>
    </row>
    <row r="74" spans="1:13">
      <c r="A74" s="86" t="s"/>
      <c r="B74" s="5" t="s">
        <v>145</v>
      </c>
      <c r="C74" s="5" t="s">
        <v>147</v>
      </c>
      <c r="D74" s="87" t="s">
        <v>59</v>
      </c>
      <c r="E74" s="87" t="s">
        <v>59</v>
      </c>
      <c r="F74" s="87" t="s">
        <v>59</v>
      </c>
      <c r="G74" s="87" t="s">
        <v>59</v>
      </c>
      <c r="H74" s="87" t="s">
        <v>59</v>
      </c>
      <c r="I74" s="18">
        <v>6</v>
      </c>
      <c r="J74" s="18">
        <v>7.5</v>
      </c>
      <c r="K74" s="18">
        <v>12</v>
      </c>
      <c r="L74" s="18">
        <v>0.6</v>
      </c>
      <c r="M74" s="18">
        <v>22.5</v>
      </c>
    </row>
    <row r="75" spans="1:13">
      <c r="A75" s="88" t="s"/>
      <c r="B75" s="5" t="s">
        <v>148</v>
      </c>
      <c r="C75" s="63" t="s"/>
      <c r="D75" s="87" t="s">
        <v>59</v>
      </c>
      <c r="E75" s="87" t="s">
        <v>59</v>
      </c>
      <c r="F75" s="87" t="s">
        <v>59</v>
      </c>
      <c r="G75" s="87" t="s">
        <v>59</v>
      </c>
      <c r="H75" s="87" t="s">
        <v>59</v>
      </c>
      <c r="I75" s="18">
        <v>1</v>
      </c>
      <c r="J75" s="18">
        <v>1.25</v>
      </c>
      <c r="K75" s="18">
        <v>2</v>
      </c>
      <c r="L75" s="18">
        <v>0.1</v>
      </c>
      <c r="M75" s="18">
        <v>5</v>
      </c>
    </row>
  </sheetData>
  <mergeCells count="33">
    <mergeCell ref="A1:C1"/>
    <mergeCell ref="D1:F1"/>
    <mergeCell ref="G1:I1"/>
    <mergeCell ref="A3:A5"/>
    <mergeCell ref="B3:B5"/>
    <mergeCell ref="B6:B7"/>
    <mergeCell ref="B8:B9"/>
    <mergeCell ref="B10:B11"/>
    <mergeCell ref="A28:A41"/>
    <mergeCell ref="B28:B29"/>
    <mergeCell ref="B30:B31"/>
    <mergeCell ref="B32:B33"/>
    <mergeCell ref="B34:B35"/>
    <mergeCell ref="B36:B37"/>
    <mergeCell ref="B38:B39"/>
    <mergeCell ref="B40:B41"/>
    <mergeCell ref="A42:A50"/>
    <mergeCell ref="B42:B43"/>
    <mergeCell ref="B44:B45"/>
    <mergeCell ref="B46:B47"/>
    <mergeCell ref="B48:B50"/>
    <mergeCell ref="A51:A52"/>
    <mergeCell ref="A53:A56"/>
    <mergeCell ref="A61:C61"/>
    <mergeCell ref="D61:G61"/>
    <mergeCell ref="H61:K61"/>
    <mergeCell ref="A63:A64"/>
    <mergeCell ref="A66:C66"/>
    <mergeCell ref="D66:H66"/>
    <mergeCell ref="I66:M66"/>
    <mergeCell ref="A68:A75"/>
    <mergeCell ref="A57:A59"/>
    <mergeCell ref="A6:A27"/>
  </mergeCells>
</worksheet>
</file>

<file path=xl/worksheets/sheet5.xml><?xml version="1.0" encoding="utf-8"?>
<worksheet xmlns="http://schemas.openxmlformats.org/spreadsheetml/2006/main">
  <sheetPr codeName="AIGC生音乐">
    <tabColor/>
  </sheetPr>
  <dimension ref="D200"/>
  <sheetViews>
    <sheetView showGridLines="true" workbookViewId="0"/>
  </sheetViews>
  <sheetFormatPr baseColWidth="13" defaultRowHeight="18" customHeight="true"/>
  <cols>
    <col min="1" max="1" width="13.7109" customWidth="true"/>
    <col min="2" max="2" width="22.7109" customWidth="true"/>
    <col min="3" max="3" width="21.7109" customWidth="true"/>
    <col min="4" max="4" width="21.7109" customWidth="true"/>
  </cols>
  <sheetData>
    <row r="1" spans="1:4">
      <c r="A1" s="47" t="s">
        <v>205</v>
      </c>
      <c r="B1" s="12" t="s"/>
      <c r="C1" s="89" t="s">
        <v>206</v>
      </c>
      <c r="D1" s="102" t="s">
        <v>207</v>
      </c>
    </row>
    <row r="2" spans="1:4">
      <c r="A2" s="4" t="s">
        <v>50</v>
      </c>
      <c r="B2" s="4" t="s">
        <v>51</v>
      </c>
      <c r="C2" s="90" t="s"/>
      <c r="D2" s="80" t="s"/>
    </row>
    <row r="3" spans="1:4">
      <c r="A3" s="103" t="s">
        <v>208</v>
      </c>
      <c r="B3" s="103" t="s">
        <v>209</v>
      </c>
      <c r="C3" s="104">
        <v>0.25</v>
      </c>
      <c r="D3" s="28">
        <v>0.03</v>
      </c>
    </row>
    <row r="4" spans="1:4">
      <c r="A4" s="105" t="s"/>
      <c r="B4" s="5" t="s">
        <v>210</v>
      </c>
      <c r="C4" s="104">
        <v>1</v>
      </c>
      <c r="D4" s="28">
        <v>0.15</v>
      </c>
    </row>
    <row r="5" spans="1:4">
      <c r="A5" s="105" t="s"/>
      <c r="B5" s="5" t="s">
        <v>211</v>
      </c>
      <c r="C5" s="104">
        <v>1</v>
      </c>
      <c r="D5" s="28">
        <v>0.15</v>
      </c>
    </row>
    <row r="6" spans="1:4">
      <c r="A6" s="5" t="s">
        <v>212</v>
      </c>
      <c r="B6" s="23">
        <v>3</v>
      </c>
      <c r="C6" s="54">
        <f>=D6*7.5</f>
        <v>0.3</v>
      </c>
      <c r="D6" s="22">
        <v>0.04</v>
      </c>
    </row>
    <row r="7" spans="1:4">
      <c r="A7" s="12" t="s"/>
      <c r="B7" s="5" t="s">
        <v>213</v>
      </c>
      <c r="C7" s="18">
        <f>=D7*7.5</f>
        <v>0.6</v>
      </c>
      <c r="D7" s="20">
        <v>0.08</v>
      </c>
    </row>
    <row r="8" spans="1:4">
      <c r="A8" s="50" t="s"/>
      <c r="B8" s="50" t="s"/>
      <c r="C8" s="106" t="s"/>
      <c r="D8" s="106" t="s"/>
    </row>
    <row r="9" spans="1:4">
      <c r="A9" s="50" t="s"/>
      <c r="B9" s="50" t="s"/>
      <c r="C9" s="106" t="s"/>
      <c r="D9" s="106" t="s"/>
    </row>
    <row r="10" spans="1:4">
      <c r="A10" s="50" t="s"/>
      <c r="B10" s="50" t="s"/>
      <c r="C10" s="106" t="s"/>
      <c r="D10" s="106" t="s"/>
    </row>
    <row r="11" spans="1:4">
      <c r="A11" s="50" t="s"/>
      <c r="B11" s="50" t="s"/>
      <c r="C11" s="106" t="s"/>
      <c r="D11" s="106" t="s"/>
    </row>
    <row r="12" spans="1:4">
      <c r="A12" s="50" t="s"/>
      <c r="B12" s="50" t="s"/>
      <c r="C12" s="106" t="s"/>
      <c r="D12" s="106" t="s"/>
    </row>
    <row r="13" spans="1:4">
      <c r="A13" s="50" t="s"/>
      <c r="B13" s="50" t="s"/>
      <c r="C13" s="106" t="s"/>
      <c r="D13" s="106" t="s"/>
    </row>
    <row r="14" spans="1:4">
      <c r="A14" s="50" t="s"/>
      <c r="B14" s="50" t="s"/>
      <c r="C14" s="106" t="s"/>
      <c r="D14" s="106" t="s"/>
    </row>
    <row r="15" spans="1:4">
      <c r="A15" s="50" t="s"/>
      <c r="B15" s="50" t="s"/>
      <c r="C15" s="106" t="s"/>
      <c r="D15" s="106" t="s"/>
    </row>
    <row r="16" spans="1:4">
      <c r="A16" s="50" t="s"/>
      <c r="B16" s="50" t="s"/>
      <c r="C16" s="106" t="s"/>
      <c r="D16" s="106" t="s"/>
    </row>
    <row r="17" spans="1:4">
      <c r="A17" s="50" t="s"/>
      <c r="B17" s="50" t="s"/>
      <c r="C17" s="106" t="s"/>
      <c r="D17" s="106" t="s"/>
    </row>
    <row r="18" spans="1:4">
      <c r="A18" s="50" t="s"/>
      <c r="B18" s="50" t="s"/>
      <c r="C18" s="106" t="s"/>
      <c r="D18" s="106" t="s"/>
    </row>
    <row r="19" spans="1:4">
      <c r="A19" s="50" t="s"/>
      <c r="B19" s="50" t="s"/>
      <c r="C19" s="106" t="s"/>
      <c r="D19" s="106" t="s"/>
    </row>
    <row r="20" spans="1:4">
      <c r="A20" s="50" t="s"/>
      <c r="B20" s="50" t="s"/>
      <c r="C20" s="106" t="s"/>
      <c r="D20" s="106" t="s"/>
    </row>
    <row r="21" spans="1:4">
      <c r="A21" s="50" t="s"/>
      <c r="B21" s="50" t="s"/>
      <c r="C21" s="106" t="s"/>
      <c r="D21" s="106" t="s"/>
    </row>
    <row r="22" spans="1:4">
      <c r="A22" s="50" t="s"/>
      <c r="B22" s="50" t="s"/>
      <c r="C22" s="106" t="s"/>
      <c r="D22" s="106" t="s"/>
    </row>
    <row r="23" spans="1:4">
      <c r="A23" s="50" t="s"/>
      <c r="B23" s="50" t="s"/>
      <c r="C23" s="106" t="s"/>
      <c r="D23" s="106" t="s"/>
    </row>
    <row r="24" spans="1:4">
      <c r="A24" s="50" t="s"/>
      <c r="B24" s="50" t="s"/>
      <c r="C24" s="106" t="s"/>
      <c r="D24" s="106" t="s"/>
    </row>
    <row r="25" spans="1:4">
      <c r="A25" s="50" t="s"/>
      <c r="B25" s="50" t="s"/>
      <c r="C25" s="106" t="s"/>
      <c r="D25" s="106" t="s"/>
    </row>
    <row r="26" spans="1:4">
      <c r="A26" s="50" t="s"/>
      <c r="B26" s="50" t="s"/>
      <c r="C26" s="106" t="s"/>
      <c r="D26" s="106" t="s"/>
    </row>
    <row r="27" spans="1:4">
      <c r="A27" s="50" t="s"/>
      <c r="B27" s="50" t="s"/>
      <c r="C27" s="106" t="s"/>
      <c r="D27" s="106" t="s"/>
    </row>
    <row r="28" spans="1:4">
      <c r="A28" s="50" t="s"/>
      <c r="B28" s="50" t="s"/>
      <c r="C28" s="106" t="s"/>
      <c r="D28" s="106" t="s"/>
    </row>
    <row r="29" spans="1:4">
      <c r="A29" s="50" t="s"/>
      <c r="B29" s="50" t="s"/>
      <c r="C29" s="106" t="s"/>
      <c r="D29" s="106" t="s"/>
    </row>
    <row r="30" spans="1:4">
      <c r="A30" s="50" t="s"/>
      <c r="B30" s="50" t="s"/>
      <c r="C30" s="106" t="s"/>
      <c r="D30" s="106" t="s"/>
    </row>
    <row r="31" spans="1:4">
      <c r="A31" s="50" t="s"/>
      <c r="B31" s="50" t="s"/>
      <c r="C31" s="106" t="s"/>
      <c r="D31" s="106" t="s"/>
    </row>
    <row r="32" spans="1:4">
      <c r="A32" s="50" t="s"/>
      <c r="B32" s="50" t="s"/>
      <c r="C32" s="106" t="s"/>
      <c r="D32" s="106" t="s"/>
    </row>
    <row r="33" spans="1:4">
      <c r="A33" s="50" t="s"/>
      <c r="B33" s="50" t="s"/>
      <c r="C33" s="106" t="s"/>
      <c r="D33" s="106" t="s"/>
    </row>
    <row r="34" spans="1:4">
      <c r="A34" s="50" t="s"/>
      <c r="B34" s="50" t="s"/>
      <c r="C34" s="106" t="s"/>
      <c r="D34" s="106" t="s"/>
    </row>
    <row r="35" spans="1:4">
      <c r="A35" s="50" t="s"/>
      <c r="B35" s="50" t="s"/>
      <c r="C35" s="106" t="s"/>
      <c r="D35" s="106" t="s"/>
    </row>
    <row r="36" spans="1:4">
      <c r="A36" s="50" t="s"/>
      <c r="B36" s="50" t="s"/>
      <c r="C36" s="106" t="s"/>
      <c r="D36" s="106" t="s"/>
    </row>
    <row r="37" spans="1:4">
      <c r="A37" s="50" t="s"/>
      <c r="B37" s="50" t="s"/>
      <c r="C37" s="106" t="s"/>
      <c r="D37" s="106" t="s"/>
    </row>
    <row r="38" spans="1:4">
      <c r="A38" s="50" t="s"/>
      <c r="B38" s="50" t="s"/>
      <c r="C38" s="106" t="s"/>
      <c r="D38" s="106" t="s"/>
    </row>
    <row r="39" spans="1:4">
      <c r="A39" s="50" t="s"/>
      <c r="B39" s="50" t="s"/>
      <c r="C39" s="106" t="s"/>
      <c r="D39" s="106" t="s"/>
    </row>
    <row r="40" spans="1:4">
      <c r="A40" s="50" t="s"/>
      <c r="B40" s="50" t="s"/>
      <c r="C40" s="106" t="s"/>
      <c r="D40" s="106" t="s"/>
    </row>
    <row r="41" spans="1:4">
      <c r="A41" s="50" t="s"/>
      <c r="B41" s="50" t="s"/>
      <c r="C41" s="106" t="s"/>
      <c r="D41" s="106" t="s"/>
    </row>
    <row r="42" spans="1:4">
      <c r="A42" s="50" t="s"/>
      <c r="B42" s="50" t="s"/>
      <c r="C42" s="106" t="s"/>
      <c r="D42" s="106" t="s"/>
    </row>
    <row r="43" spans="1:4">
      <c r="A43" s="50" t="s"/>
      <c r="B43" s="50" t="s"/>
      <c r="C43" s="106" t="s"/>
      <c r="D43" s="106" t="s"/>
    </row>
    <row r="44" spans="1:4">
      <c r="A44" s="50" t="s"/>
      <c r="B44" s="50" t="s"/>
      <c r="C44" s="106" t="s"/>
      <c r="D44" s="106" t="s"/>
    </row>
    <row r="45" spans="1:4">
      <c r="A45" s="50" t="s"/>
      <c r="B45" s="50" t="s"/>
      <c r="C45" s="106" t="s"/>
      <c r="D45" s="106" t="s"/>
    </row>
    <row r="46" spans="1:4">
      <c r="A46" s="50" t="s"/>
      <c r="B46" s="50" t="s"/>
      <c r="C46" s="106" t="s"/>
      <c r="D46" s="106" t="s"/>
    </row>
    <row r="47" spans="1:4">
      <c r="A47" s="50" t="s"/>
      <c r="B47" s="50" t="s"/>
      <c r="C47" s="106" t="s"/>
      <c r="D47" s="106" t="s"/>
    </row>
    <row r="48" spans="1:4">
      <c r="A48" s="50" t="s"/>
      <c r="B48" s="50" t="s"/>
      <c r="C48" s="106" t="s"/>
      <c r="D48" s="106" t="s"/>
    </row>
    <row r="49" spans="1:4">
      <c r="A49" s="50" t="s"/>
      <c r="B49" s="50" t="s"/>
      <c r="C49" s="106" t="s"/>
      <c r="D49" s="106" t="s"/>
    </row>
    <row r="50" spans="1:4">
      <c r="A50" s="50" t="s"/>
      <c r="B50" s="50" t="s"/>
      <c r="C50" s="106" t="s"/>
      <c r="D50" s="106" t="s"/>
    </row>
    <row r="51" spans="1:4">
      <c r="A51" s="50" t="s"/>
      <c r="B51" s="50" t="s"/>
      <c r="C51" s="106" t="s"/>
      <c r="D51" s="106" t="s"/>
    </row>
    <row r="52" spans="1:4">
      <c r="A52" s="50" t="s"/>
      <c r="B52" s="50" t="s"/>
      <c r="C52" s="106" t="s"/>
      <c r="D52" s="106" t="s"/>
    </row>
    <row r="53" spans="1:4">
      <c r="A53" s="50" t="s"/>
      <c r="B53" s="50" t="s"/>
      <c r="C53" s="106" t="s"/>
      <c r="D53" s="106" t="s"/>
    </row>
    <row r="54" spans="1:4">
      <c r="A54" s="50" t="s"/>
      <c r="B54" s="50" t="s"/>
      <c r="C54" s="106" t="s"/>
      <c r="D54" s="106" t="s"/>
    </row>
    <row r="55" spans="1:4">
      <c r="A55" s="50" t="s"/>
      <c r="B55" s="50" t="s"/>
      <c r="C55" s="106" t="s"/>
      <c r="D55" s="106" t="s"/>
    </row>
    <row r="56" spans="1:4">
      <c r="A56" s="50" t="s"/>
      <c r="B56" s="50" t="s"/>
      <c r="C56" s="106" t="s"/>
      <c r="D56" s="106" t="s"/>
    </row>
    <row r="57" spans="1:4">
      <c r="A57" s="50" t="s"/>
      <c r="B57" s="50" t="s"/>
      <c r="C57" s="106" t="s"/>
      <c r="D57" s="106" t="s"/>
    </row>
    <row r="58" spans="1:4">
      <c r="A58" s="50" t="s"/>
      <c r="B58" s="50" t="s"/>
      <c r="C58" s="106" t="s"/>
      <c r="D58" s="106" t="s"/>
    </row>
    <row r="59" spans="1:4">
      <c r="A59" s="50" t="s"/>
      <c r="B59" s="50" t="s"/>
      <c r="C59" s="106" t="s"/>
      <c r="D59" s="106" t="s"/>
    </row>
    <row r="60" spans="1:4">
      <c r="A60" s="50" t="s"/>
      <c r="B60" s="50" t="s"/>
      <c r="C60" s="106" t="s"/>
      <c r="D60" s="106" t="s"/>
    </row>
    <row r="61" spans="1:4">
      <c r="A61" s="50" t="s"/>
      <c r="B61" s="50" t="s"/>
      <c r="C61" s="106" t="s"/>
      <c r="D61" s="106" t="s"/>
    </row>
    <row r="62" spans="1:4">
      <c r="A62" s="50" t="s"/>
      <c r="B62" s="50" t="s"/>
      <c r="C62" s="106" t="s"/>
      <c r="D62" s="106" t="s"/>
    </row>
    <row r="63" spans="1:4">
      <c r="A63" s="50" t="s"/>
      <c r="B63" s="50" t="s"/>
      <c r="C63" s="106" t="s"/>
      <c r="D63" s="106" t="s"/>
    </row>
    <row r="64" spans="1:4">
      <c r="A64" s="50" t="s"/>
      <c r="B64" s="50" t="s"/>
      <c r="C64" s="106" t="s"/>
      <c r="D64" s="106" t="s"/>
    </row>
    <row r="65" spans="1:4">
      <c r="A65" s="50" t="s"/>
      <c r="B65" s="50" t="s"/>
      <c r="C65" s="106" t="s"/>
      <c r="D65" s="106" t="s"/>
    </row>
    <row r="66" spans="1:4">
      <c r="A66" s="50" t="s"/>
      <c r="B66" s="50" t="s"/>
      <c r="C66" s="106" t="s"/>
      <c r="D66" s="106" t="s"/>
    </row>
    <row r="67" spans="1:4">
      <c r="A67" s="50" t="s"/>
      <c r="B67" s="50" t="s"/>
      <c r="C67" s="106" t="s"/>
      <c r="D67" s="106" t="s"/>
    </row>
    <row r="68" spans="1:4">
      <c r="A68" s="50" t="s"/>
      <c r="B68" s="50" t="s"/>
      <c r="C68" s="106" t="s"/>
      <c r="D68" s="106" t="s"/>
    </row>
    <row r="69" spans="1:4">
      <c r="A69" s="50" t="s"/>
      <c r="B69" s="50" t="s"/>
      <c r="C69" s="106" t="s"/>
      <c r="D69" s="106" t="s"/>
    </row>
    <row r="70" spans="1:4">
      <c r="A70" s="50" t="s"/>
      <c r="B70" s="50" t="s"/>
      <c r="C70" s="106" t="s"/>
      <c r="D70" s="106" t="s"/>
    </row>
    <row r="71" spans="1:4">
      <c r="A71" s="50" t="s"/>
      <c r="B71" s="50" t="s"/>
      <c r="C71" s="106" t="s"/>
      <c r="D71" s="106" t="s"/>
    </row>
    <row r="72" spans="1:4">
      <c r="A72" s="50" t="s"/>
      <c r="B72" s="50" t="s"/>
      <c r="C72" s="106" t="s"/>
      <c r="D72" s="106" t="s"/>
    </row>
    <row r="73" spans="1:4">
      <c r="A73" s="50" t="s"/>
      <c r="B73" s="50" t="s"/>
      <c r="C73" s="106" t="s"/>
      <c r="D73" s="106" t="s"/>
    </row>
    <row r="74" spans="1:4">
      <c r="A74" s="50" t="s"/>
      <c r="B74" s="50" t="s"/>
      <c r="C74" s="106" t="s"/>
      <c r="D74" s="106" t="s"/>
    </row>
    <row r="75" spans="1:4">
      <c r="A75" s="50" t="s"/>
      <c r="B75" s="50" t="s"/>
      <c r="C75" s="106" t="s"/>
      <c r="D75" s="106" t="s"/>
    </row>
    <row r="76" spans="1:4">
      <c r="A76" s="50" t="s"/>
      <c r="B76" s="50" t="s"/>
      <c r="C76" s="106" t="s"/>
      <c r="D76" s="106" t="s"/>
    </row>
    <row r="77" spans="1:4">
      <c r="A77" s="50" t="s"/>
      <c r="B77" s="50" t="s"/>
      <c r="C77" s="106" t="s"/>
      <c r="D77" s="106" t="s"/>
    </row>
    <row r="78" spans="1:4">
      <c r="A78" s="50" t="s"/>
      <c r="B78" s="50" t="s"/>
      <c r="C78" s="106" t="s"/>
      <c r="D78" s="106" t="s"/>
    </row>
    <row r="79" spans="1:4">
      <c r="A79" s="50" t="s"/>
      <c r="B79" s="50" t="s"/>
      <c r="C79" s="106" t="s"/>
      <c r="D79" s="106" t="s"/>
    </row>
    <row r="80" spans="1:4">
      <c r="A80" s="50" t="s"/>
      <c r="B80" s="50" t="s"/>
      <c r="C80" s="106" t="s"/>
      <c r="D80" s="106" t="s"/>
    </row>
    <row r="81" spans="1:4">
      <c r="A81" s="50" t="s"/>
      <c r="B81" s="50" t="s"/>
      <c r="C81" s="106" t="s"/>
      <c r="D81" s="106" t="s"/>
    </row>
    <row r="82" spans="1:4">
      <c r="A82" s="50" t="s"/>
      <c r="B82" s="50" t="s"/>
      <c r="C82" s="106" t="s"/>
      <c r="D82" s="106" t="s"/>
    </row>
    <row r="83" spans="1:4">
      <c r="A83" s="50" t="s"/>
      <c r="B83" s="50" t="s"/>
      <c r="C83" s="106" t="s"/>
      <c r="D83" s="106" t="s"/>
    </row>
    <row r="84" spans="1:4">
      <c r="A84" s="50" t="s"/>
      <c r="B84" s="50" t="s"/>
      <c r="C84" s="106" t="s"/>
      <c r="D84" s="106" t="s"/>
    </row>
    <row r="85" spans="1:4">
      <c r="A85" s="50" t="s"/>
      <c r="B85" s="50" t="s"/>
      <c r="C85" s="106" t="s"/>
      <c r="D85" s="106" t="s"/>
    </row>
    <row r="86" spans="1:4">
      <c r="A86" s="50" t="s"/>
      <c r="B86" s="50" t="s"/>
      <c r="C86" s="106" t="s"/>
      <c r="D86" s="106" t="s"/>
    </row>
    <row r="87" spans="1:4">
      <c r="A87" s="50" t="s"/>
      <c r="B87" s="50" t="s"/>
      <c r="C87" s="106" t="s"/>
      <c r="D87" s="106" t="s"/>
    </row>
    <row r="88" spans="1:4">
      <c r="A88" s="50" t="s"/>
      <c r="B88" s="50" t="s"/>
      <c r="C88" s="106" t="s"/>
      <c r="D88" s="106" t="s"/>
    </row>
    <row r="89" spans="1:4">
      <c r="A89" s="50" t="s"/>
      <c r="B89" s="50" t="s"/>
      <c r="C89" s="106" t="s"/>
      <c r="D89" s="106" t="s"/>
    </row>
    <row r="90" spans="1:4">
      <c r="A90" s="50" t="s"/>
      <c r="B90" s="50" t="s"/>
      <c r="C90" s="106" t="s"/>
      <c r="D90" s="106" t="s"/>
    </row>
    <row r="91" spans="1:4">
      <c r="A91" s="50" t="s"/>
      <c r="B91" s="50" t="s"/>
      <c r="C91" s="106" t="s"/>
      <c r="D91" s="106" t="s"/>
    </row>
    <row r="92" spans="1:4">
      <c r="A92" s="50" t="s"/>
      <c r="B92" s="50" t="s"/>
      <c r="C92" s="106" t="s"/>
      <c r="D92" s="106" t="s"/>
    </row>
    <row r="93" spans="1:4">
      <c r="A93" s="50" t="s"/>
      <c r="B93" s="50" t="s"/>
      <c r="C93" s="106" t="s"/>
      <c r="D93" s="106" t="s"/>
    </row>
    <row r="94" spans="1:4">
      <c r="A94" s="50" t="s"/>
      <c r="B94" s="50" t="s"/>
      <c r="C94" s="106" t="s"/>
      <c r="D94" s="106" t="s"/>
    </row>
    <row r="95" spans="1:4">
      <c r="A95" s="50" t="s"/>
      <c r="B95" s="50" t="s"/>
      <c r="C95" s="106" t="s"/>
      <c r="D95" s="106" t="s"/>
    </row>
    <row r="96" spans="1:4">
      <c r="A96" s="50" t="s"/>
      <c r="B96" s="50" t="s"/>
      <c r="C96" s="106" t="s"/>
      <c r="D96" s="106" t="s"/>
    </row>
    <row r="97" spans="1:4">
      <c r="A97" s="50" t="s"/>
      <c r="B97" s="50" t="s"/>
      <c r="C97" s="106" t="s"/>
      <c r="D97" s="106" t="s"/>
    </row>
    <row r="98" spans="1:4">
      <c r="A98" s="50" t="s"/>
      <c r="B98" s="50" t="s"/>
      <c r="C98" s="106" t="s"/>
      <c r="D98" s="106" t="s"/>
    </row>
    <row r="99" spans="1:4">
      <c r="A99" s="50" t="s"/>
      <c r="B99" s="50" t="s"/>
      <c r="C99" s="106" t="s"/>
      <c r="D99" s="106" t="s"/>
    </row>
    <row r="100" spans="1:4">
      <c r="A100" s="50" t="s"/>
      <c r="B100" s="50" t="s"/>
      <c r="C100" s="106" t="s"/>
      <c r="D100" s="106" t="s"/>
    </row>
    <row r="101" spans="1:4">
      <c r="A101" s="50" t="s"/>
      <c r="B101" s="50" t="s"/>
      <c r="C101" s="106" t="s"/>
      <c r="D101" s="106" t="s"/>
    </row>
    <row r="102" spans="1:4">
      <c r="A102" s="50" t="s"/>
      <c r="B102" s="50" t="s"/>
      <c r="C102" s="106" t="s"/>
      <c r="D102" s="106" t="s"/>
    </row>
    <row r="103" spans="1:4">
      <c r="A103" s="50" t="s"/>
      <c r="B103" s="50" t="s"/>
      <c r="C103" s="106" t="s"/>
      <c r="D103" s="106" t="s"/>
    </row>
    <row r="104" spans="1:4">
      <c r="A104" s="50" t="s"/>
      <c r="B104" s="50" t="s"/>
      <c r="C104" s="106" t="s"/>
      <c r="D104" s="106" t="s"/>
    </row>
    <row r="105" spans="1:4">
      <c r="A105" s="50" t="s"/>
      <c r="B105" s="50" t="s"/>
      <c r="C105" s="106" t="s"/>
      <c r="D105" s="106" t="s"/>
    </row>
    <row r="106" spans="1:4">
      <c r="A106" s="50" t="s"/>
      <c r="B106" s="50" t="s"/>
      <c r="C106" s="106" t="s"/>
      <c r="D106" s="106" t="s"/>
    </row>
    <row r="107" spans="1:4">
      <c r="A107" s="50" t="s"/>
      <c r="B107" s="50" t="s"/>
      <c r="C107" s="106" t="s"/>
      <c r="D107" s="106" t="s"/>
    </row>
    <row r="108" spans="1:4">
      <c r="A108" s="50" t="s"/>
      <c r="B108" s="50" t="s"/>
      <c r="C108" s="106" t="s"/>
      <c r="D108" s="106" t="s"/>
    </row>
    <row r="109" spans="1:4">
      <c r="A109" s="50" t="s"/>
      <c r="B109" s="50" t="s"/>
      <c r="C109" s="106" t="s"/>
      <c r="D109" s="106" t="s"/>
    </row>
    <row r="110" spans="1:4">
      <c r="A110" s="50" t="s"/>
      <c r="B110" s="50" t="s"/>
      <c r="C110" s="106" t="s"/>
      <c r="D110" s="106" t="s"/>
    </row>
    <row r="111" spans="1:4">
      <c r="A111" s="50" t="s"/>
      <c r="B111" s="50" t="s"/>
      <c r="C111" s="106" t="s"/>
      <c r="D111" s="106" t="s"/>
    </row>
    <row r="112" spans="1:4">
      <c r="A112" s="50" t="s"/>
      <c r="B112" s="50" t="s"/>
      <c r="C112" s="106" t="s"/>
      <c r="D112" s="106" t="s"/>
    </row>
    <row r="113" spans="1:4">
      <c r="A113" s="50" t="s"/>
      <c r="B113" s="50" t="s"/>
      <c r="C113" s="106" t="s"/>
      <c r="D113" s="106" t="s"/>
    </row>
    <row r="114" spans="1:4">
      <c r="A114" s="50" t="s"/>
      <c r="B114" s="50" t="s"/>
      <c r="C114" s="106" t="s"/>
      <c r="D114" s="106" t="s"/>
    </row>
    <row r="115" spans="1:4">
      <c r="A115" s="50" t="s"/>
      <c r="B115" s="50" t="s"/>
      <c r="C115" s="106" t="s"/>
      <c r="D115" s="106" t="s"/>
    </row>
    <row r="116" spans="1:4">
      <c r="A116" s="50" t="s"/>
      <c r="B116" s="50" t="s"/>
      <c r="C116" s="106" t="s"/>
      <c r="D116" s="106" t="s"/>
    </row>
    <row r="117" spans="1:4">
      <c r="A117" s="50" t="s"/>
      <c r="B117" s="50" t="s"/>
      <c r="C117" s="106" t="s"/>
      <c r="D117" s="106" t="s"/>
    </row>
    <row r="118" spans="1:4">
      <c r="A118" s="50" t="s"/>
      <c r="B118" s="50" t="s"/>
      <c r="C118" s="106" t="s"/>
      <c r="D118" s="106" t="s"/>
    </row>
    <row r="119" spans="1:4">
      <c r="A119" s="50" t="s"/>
      <c r="B119" s="50" t="s"/>
      <c r="C119" s="106" t="s"/>
      <c r="D119" s="106" t="s"/>
    </row>
    <row r="120" spans="1:4">
      <c r="A120" s="50" t="s"/>
      <c r="B120" s="50" t="s"/>
      <c r="C120" s="106" t="s"/>
      <c r="D120" s="106" t="s"/>
    </row>
    <row r="121" spans="1:4">
      <c r="A121" s="50" t="s"/>
      <c r="B121" s="50" t="s"/>
      <c r="C121" s="106" t="s"/>
      <c r="D121" s="106" t="s"/>
    </row>
    <row r="122" spans="1:4">
      <c r="A122" s="50" t="s"/>
      <c r="B122" s="50" t="s"/>
      <c r="C122" s="106" t="s"/>
      <c r="D122" s="106" t="s"/>
    </row>
    <row r="123" spans="1:4">
      <c r="A123" s="50" t="s"/>
      <c r="B123" s="50" t="s"/>
      <c r="C123" s="106" t="s"/>
      <c r="D123" s="106" t="s"/>
    </row>
    <row r="124" spans="1:4">
      <c r="A124" s="50" t="s"/>
      <c r="B124" s="50" t="s"/>
      <c r="C124" s="106" t="s"/>
      <c r="D124" s="106" t="s"/>
    </row>
    <row r="125" spans="1:4">
      <c r="A125" s="50" t="s"/>
      <c r="B125" s="50" t="s"/>
      <c r="C125" s="106" t="s"/>
      <c r="D125" s="106" t="s"/>
    </row>
    <row r="126" spans="1:4">
      <c r="A126" s="50" t="s"/>
      <c r="B126" s="50" t="s"/>
      <c r="C126" s="106" t="s"/>
      <c r="D126" s="106" t="s"/>
    </row>
    <row r="127" spans="1:4">
      <c r="A127" s="50" t="s"/>
      <c r="B127" s="50" t="s"/>
      <c r="C127" s="106" t="s"/>
      <c r="D127" s="106" t="s"/>
    </row>
    <row r="128" spans="1:4">
      <c r="A128" s="50" t="s"/>
      <c r="B128" s="50" t="s"/>
      <c r="C128" s="106" t="s"/>
      <c r="D128" s="106" t="s"/>
    </row>
    <row r="129" spans="1:4">
      <c r="A129" s="50" t="s"/>
      <c r="B129" s="50" t="s"/>
      <c r="C129" s="106" t="s"/>
      <c r="D129" s="106" t="s"/>
    </row>
    <row r="130" spans="1:4">
      <c r="A130" s="50" t="s"/>
      <c r="B130" s="50" t="s"/>
      <c r="C130" s="106" t="s"/>
      <c r="D130" s="106" t="s"/>
    </row>
    <row r="131" spans="1:4">
      <c r="A131" s="50" t="s"/>
      <c r="B131" s="50" t="s"/>
      <c r="C131" s="106" t="s"/>
      <c r="D131" s="106" t="s"/>
    </row>
    <row r="132" spans="1:4">
      <c r="A132" s="50" t="s"/>
      <c r="B132" s="50" t="s"/>
      <c r="C132" s="106" t="s"/>
      <c r="D132" s="106" t="s"/>
    </row>
    <row r="133" spans="1:4">
      <c r="A133" s="50" t="s"/>
      <c r="B133" s="50" t="s"/>
      <c r="C133" s="106" t="s"/>
      <c r="D133" s="106" t="s"/>
    </row>
    <row r="134" spans="1:4">
      <c r="A134" s="50" t="s"/>
      <c r="B134" s="50" t="s"/>
      <c r="C134" s="106" t="s"/>
      <c r="D134" s="106" t="s"/>
    </row>
    <row r="135" spans="1:4">
      <c r="A135" s="50" t="s"/>
      <c r="B135" s="50" t="s"/>
      <c r="C135" s="106" t="s"/>
      <c r="D135" s="106" t="s"/>
    </row>
    <row r="136" spans="1:4">
      <c r="A136" s="50" t="s"/>
      <c r="B136" s="50" t="s"/>
      <c r="C136" s="106" t="s"/>
      <c r="D136" s="106" t="s"/>
    </row>
    <row r="137" spans="1:4">
      <c r="A137" s="50" t="s"/>
      <c r="B137" s="50" t="s"/>
      <c r="C137" s="106" t="s"/>
      <c r="D137" s="106" t="s"/>
    </row>
    <row r="138" spans="1:4">
      <c r="A138" s="50" t="s"/>
      <c r="B138" s="50" t="s"/>
      <c r="C138" s="106" t="s"/>
      <c r="D138" s="106" t="s"/>
    </row>
    <row r="139" spans="1:4">
      <c r="A139" s="50" t="s"/>
      <c r="B139" s="50" t="s"/>
      <c r="C139" s="106" t="s"/>
      <c r="D139" s="106" t="s"/>
    </row>
    <row r="140" spans="1:4">
      <c r="A140" s="50" t="s"/>
      <c r="B140" s="50" t="s"/>
      <c r="C140" s="106" t="s"/>
      <c r="D140" s="106" t="s"/>
    </row>
    <row r="141" spans="1:4">
      <c r="A141" s="50" t="s"/>
      <c r="B141" s="50" t="s"/>
      <c r="C141" s="106" t="s"/>
      <c r="D141" s="106" t="s"/>
    </row>
    <row r="142" spans="1:4">
      <c r="A142" s="50" t="s"/>
      <c r="B142" s="50" t="s"/>
      <c r="C142" s="106" t="s"/>
      <c r="D142" s="106" t="s"/>
    </row>
    <row r="143" spans="1:4">
      <c r="A143" s="50" t="s"/>
      <c r="B143" s="50" t="s"/>
      <c r="C143" s="106" t="s"/>
      <c r="D143" s="106" t="s"/>
    </row>
    <row r="144" spans="1:4">
      <c r="A144" s="50" t="s"/>
      <c r="B144" s="50" t="s"/>
      <c r="C144" s="106" t="s"/>
      <c r="D144" s="106" t="s"/>
    </row>
    <row r="145" spans="1:4">
      <c r="A145" s="50" t="s"/>
      <c r="B145" s="50" t="s"/>
      <c r="C145" s="106" t="s"/>
      <c r="D145" s="106" t="s"/>
    </row>
    <row r="146" spans="1:4">
      <c r="A146" s="50" t="s"/>
      <c r="B146" s="50" t="s"/>
      <c r="C146" s="106" t="s"/>
      <c r="D146" s="106" t="s"/>
    </row>
    <row r="147" spans="1:4">
      <c r="A147" s="50" t="s"/>
      <c r="B147" s="50" t="s"/>
      <c r="C147" s="106" t="s"/>
      <c r="D147" s="106" t="s"/>
    </row>
    <row r="148" spans="1:4">
      <c r="A148" s="50" t="s"/>
      <c r="B148" s="50" t="s"/>
      <c r="C148" s="106" t="s"/>
      <c r="D148" s="106" t="s"/>
    </row>
    <row r="149" spans="1:4">
      <c r="A149" s="50" t="s"/>
      <c r="B149" s="50" t="s"/>
      <c r="C149" s="106" t="s"/>
      <c r="D149" s="106" t="s"/>
    </row>
    <row r="150" spans="1:4">
      <c r="A150" s="50" t="s"/>
      <c r="B150" s="50" t="s"/>
      <c r="C150" s="106" t="s"/>
      <c r="D150" s="106" t="s"/>
    </row>
    <row r="151" spans="1:4">
      <c r="A151" s="50" t="s"/>
      <c r="B151" s="50" t="s"/>
      <c r="C151" s="106" t="s"/>
      <c r="D151" s="106" t="s"/>
    </row>
    <row r="152" spans="1:4">
      <c r="A152" s="50" t="s"/>
      <c r="B152" s="50" t="s"/>
      <c r="C152" s="106" t="s"/>
      <c r="D152" s="106" t="s"/>
    </row>
    <row r="153" spans="1:4">
      <c r="A153" s="50" t="s"/>
      <c r="B153" s="50" t="s"/>
      <c r="C153" s="106" t="s"/>
      <c r="D153" s="106" t="s"/>
    </row>
    <row r="154" spans="1:4">
      <c r="A154" s="50" t="s"/>
      <c r="B154" s="50" t="s"/>
      <c r="C154" s="106" t="s"/>
      <c r="D154" s="106" t="s"/>
    </row>
    <row r="155" spans="1:4">
      <c r="A155" s="50" t="s"/>
      <c r="B155" s="50" t="s"/>
      <c r="C155" s="106" t="s"/>
      <c r="D155" s="106" t="s"/>
    </row>
    <row r="156" spans="1:4">
      <c r="A156" s="50" t="s"/>
      <c r="B156" s="50" t="s"/>
      <c r="C156" s="106" t="s"/>
      <c r="D156" s="106" t="s"/>
    </row>
    <row r="157" spans="1:4">
      <c r="A157" s="50" t="s"/>
      <c r="B157" s="50" t="s"/>
      <c r="C157" s="106" t="s"/>
      <c r="D157" s="106" t="s"/>
    </row>
    <row r="158" spans="1:4">
      <c r="A158" s="50" t="s"/>
      <c r="B158" s="50" t="s"/>
      <c r="C158" s="106" t="s"/>
      <c r="D158" s="106" t="s"/>
    </row>
    <row r="159" spans="1:4">
      <c r="A159" s="50" t="s"/>
      <c r="B159" s="50" t="s"/>
      <c r="C159" s="106" t="s"/>
      <c r="D159" s="106" t="s"/>
    </row>
    <row r="160" spans="1:4">
      <c r="A160" s="50" t="s"/>
      <c r="B160" s="50" t="s"/>
      <c r="C160" s="106" t="s"/>
      <c r="D160" s="106" t="s"/>
    </row>
    <row r="161" spans="1:4">
      <c r="A161" s="50" t="s"/>
      <c r="B161" s="50" t="s"/>
      <c r="C161" s="106" t="s"/>
      <c r="D161" s="106" t="s"/>
    </row>
    <row r="162" spans="1:4">
      <c r="A162" s="50" t="s"/>
      <c r="B162" s="50" t="s"/>
      <c r="C162" s="106" t="s"/>
      <c r="D162" s="106" t="s"/>
    </row>
    <row r="163" spans="1:4">
      <c r="A163" s="50" t="s"/>
      <c r="B163" s="50" t="s"/>
      <c r="C163" s="106" t="s"/>
      <c r="D163" s="106" t="s"/>
    </row>
    <row r="164" spans="1:4">
      <c r="A164" s="50" t="s"/>
      <c r="B164" s="50" t="s"/>
      <c r="C164" s="106" t="s"/>
      <c r="D164" s="106" t="s"/>
    </row>
    <row r="165" spans="1:4">
      <c r="A165" s="50" t="s"/>
      <c r="B165" s="50" t="s"/>
      <c r="C165" s="106" t="s"/>
      <c r="D165" s="106" t="s"/>
    </row>
    <row r="166" spans="1:4">
      <c r="A166" s="50" t="s"/>
      <c r="B166" s="50" t="s"/>
      <c r="C166" s="106" t="s"/>
      <c r="D166" s="106" t="s"/>
    </row>
    <row r="167" spans="1:4">
      <c r="A167" s="50" t="s"/>
      <c r="B167" s="50" t="s"/>
      <c r="C167" s="106" t="s"/>
      <c r="D167" s="106" t="s"/>
    </row>
    <row r="168" spans="1:4">
      <c r="A168" s="50" t="s"/>
      <c r="B168" s="50" t="s"/>
      <c r="C168" s="106" t="s"/>
      <c r="D168" s="106" t="s"/>
    </row>
    <row r="169" spans="1:4">
      <c r="A169" s="50" t="s"/>
      <c r="B169" s="50" t="s"/>
      <c r="C169" s="106" t="s"/>
      <c r="D169" s="106" t="s"/>
    </row>
    <row r="170" spans="1:4">
      <c r="A170" s="50" t="s"/>
      <c r="B170" s="50" t="s"/>
      <c r="C170" s="106" t="s"/>
      <c r="D170" s="106" t="s"/>
    </row>
    <row r="171" spans="1:4">
      <c r="A171" s="50" t="s"/>
      <c r="B171" s="50" t="s"/>
      <c r="C171" s="106" t="s"/>
      <c r="D171" s="106" t="s"/>
    </row>
    <row r="172" spans="1:4">
      <c r="A172" s="50" t="s"/>
      <c r="B172" s="50" t="s"/>
      <c r="C172" s="106" t="s"/>
      <c r="D172" s="106" t="s"/>
    </row>
    <row r="173" spans="1:4">
      <c r="A173" s="50" t="s"/>
      <c r="B173" s="50" t="s"/>
      <c r="C173" s="106" t="s"/>
      <c r="D173" s="106" t="s"/>
    </row>
    <row r="174" spans="1:4">
      <c r="A174" s="50" t="s"/>
      <c r="B174" s="50" t="s"/>
      <c r="C174" s="106" t="s"/>
      <c r="D174" s="106" t="s"/>
    </row>
    <row r="175" spans="1:4">
      <c r="A175" s="50" t="s"/>
      <c r="B175" s="50" t="s"/>
      <c r="C175" s="106" t="s"/>
      <c r="D175" s="106" t="s"/>
    </row>
    <row r="176" spans="1:4">
      <c r="A176" s="50" t="s"/>
      <c r="B176" s="50" t="s"/>
      <c r="C176" s="106" t="s"/>
      <c r="D176" s="106" t="s"/>
    </row>
    <row r="177" spans="1:4">
      <c r="A177" s="50" t="s"/>
      <c r="B177" s="50" t="s"/>
      <c r="C177" s="106" t="s"/>
      <c r="D177" s="106" t="s"/>
    </row>
    <row r="178" spans="1:4">
      <c r="A178" s="50" t="s"/>
      <c r="B178" s="50" t="s"/>
      <c r="C178" s="106" t="s"/>
      <c r="D178" s="106" t="s"/>
    </row>
    <row r="179" spans="1:4">
      <c r="A179" s="50" t="s"/>
      <c r="B179" s="50" t="s"/>
      <c r="C179" s="106" t="s"/>
      <c r="D179" s="106" t="s"/>
    </row>
    <row r="180" spans="1:4">
      <c r="A180" s="50" t="s"/>
      <c r="B180" s="50" t="s"/>
      <c r="C180" s="106" t="s"/>
      <c r="D180" s="106" t="s"/>
    </row>
    <row r="181" spans="1:4">
      <c r="A181" s="50" t="s"/>
      <c r="B181" s="50" t="s"/>
      <c r="C181" s="106" t="s"/>
      <c r="D181" s="106" t="s"/>
    </row>
    <row r="182" spans="1:4">
      <c r="A182" s="50" t="s"/>
      <c r="B182" s="50" t="s"/>
      <c r="C182" s="106" t="s"/>
      <c r="D182" s="106" t="s"/>
    </row>
    <row r="183" spans="1:4">
      <c r="A183" s="50" t="s"/>
      <c r="B183" s="50" t="s"/>
      <c r="C183" s="106" t="s"/>
      <c r="D183" s="106" t="s"/>
    </row>
    <row r="184" spans="1:4">
      <c r="A184" s="50" t="s"/>
      <c r="B184" s="50" t="s"/>
      <c r="C184" s="106" t="s"/>
      <c r="D184" s="106" t="s"/>
    </row>
    <row r="185" spans="1:4">
      <c r="A185" s="50" t="s"/>
      <c r="B185" s="50" t="s"/>
      <c r="C185" s="106" t="s"/>
      <c r="D185" s="106" t="s"/>
    </row>
    <row r="186" spans="1:4">
      <c r="A186" s="50" t="s"/>
      <c r="B186" s="50" t="s"/>
      <c r="C186" s="106" t="s"/>
      <c r="D186" s="106" t="s"/>
    </row>
    <row r="187" spans="1:4">
      <c r="A187" s="50" t="s"/>
      <c r="B187" s="50" t="s"/>
      <c r="C187" s="106" t="s"/>
      <c r="D187" s="106" t="s"/>
    </row>
    <row r="188" spans="1:4">
      <c r="A188" s="50" t="s"/>
      <c r="B188" s="50" t="s"/>
      <c r="C188" s="106" t="s"/>
      <c r="D188" s="106" t="s"/>
    </row>
    <row r="189" spans="1:4">
      <c r="A189" s="50" t="s"/>
      <c r="B189" s="50" t="s"/>
      <c r="C189" s="106" t="s"/>
      <c r="D189" s="106" t="s"/>
    </row>
    <row r="190" spans="1:4">
      <c r="A190" s="50" t="s"/>
      <c r="B190" s="50" t="s"/>
      <c r="C190" s="106" t="s"/>
      <c r="D190" s="106" t="s"/>
    </row>
    <row r="191" spans="1:4">
      <c r="A191" s="50" t="s"/>
      <c r="B191" s="50" t="s"/>
      <c r="C191" s="106" t="s"/>
      <c r="D191" s="106" t="s"/>
    </row>
    <row r="192" spans="1:4">
      <c r="A192" s="50" t="s"/>
      <c r="B192" s="50" t="s"/>
      <c r="C192" s="106" t="s"/>
      <c r="D192" s="106" t="s"/>
    </row>
    <row r="193" spans="1:4">
      <c r="A193" s="50" t="s"/>
      <c r="B193" s="50" t="s"/>
      <c r="C193" s="106" t="s"/>
      <c r="D193" s="106" t="s"/>
    </row>
    <row r="194" spans="1:4">
      <c r="A194" s="50" t="s"/>
      <c r="B194" s="50" t="s"/>
      <c r="C194" s="106" t="s"/>
      <c r="D194" s="106" t="s"/>
    </row>
    <row r="195" spans="1:4">
      <c r="A195" s="50" t="s"/>
      <c r="B195" s="50" t="s"/>
      <c r="C195" s="106" t="s"/>
      <c r="D195" s="106" t="s"/>
    </row>
    <row r="196" spans="1:4">
      <c r="A196" s="50" t="s"/>
      <c r="B196" s="50" t="s"/>
      <c r="C196" s="106" t="s"/>
      <c r="D196" s="106" t="s"/>
    </row>
    <row r="197" spans="1:4">
      <c r="A197" s="50" t="s"/>
      <c r="B197" s="50" t="s"/>
      <c r="C197" s="106" t="s"/>
      <c r="D197" s="106" t="s"/>
    </row>
    <row r="198" spans="1:4">
      <c r="A198" s="50" t="s"/>
      <c r="B198" s="50" t="s"/>
      <c r="C198" s="106" t="s"/>
      <c r="D198" s="106" t="s"/>
    </row>
    <row r="199" spans="1:4">
      <c r="A199" s="50" t="s"/>
      <c r="B199" s="50" t="s"/>
      <c r="C199" s="106" t="s"/>
      <c r="D199" s="106" t="s"/>
    </row>
    <row r="200" spans="1:4">
      <c r="A200" s="50" t="s"/>
      <c r="B200" s="50" t="s"/>
      <c r="C200" s="106" t="s"/>
      <c r="D200" s="106" t="s"/>
    </row>
  </sheetData>
  <mergeCells count="5">
    <mergeCell ref="A1:B1"/>
    <mergeCell ref="C1:C2"/>
    <mergeCell ref="D1:D2"/>
    <mergeCell ref="A3:A5"/>
    <mergeCell ref="A6:A7"/>
  </mergeCells>
</worksheet>
</file>

<file path=xl/worksheets/sheet6.xml><?xml version="1.0" encoding="utf-8"?>
<worksheet xmlns="http://schemas.openxmlformats.org/spreadsheetml/2006/main">
  <sheetPr codeName="场景化">
    <tabColor/>
  </sheetPr>
  <dimension ref="M35"/>
  <sheetViews>
    <sheetView showGridLines="true" workbookViewId="0"/>
  </sheetViews>
  <sheetFormatPr baseColWidth="13" defaultRowHeight="18" customHeight="true"/>
  <cols>
    <col min="1" max="1" width="18.4844" customWidth="true"/>
    <col min="2" max="2" width="23.6133" customWidth="true"/>
    <col min="3" max="3" width="35.6211" customWidth="true"/>
    <col min="7" max="7" width="17.6719" customWidth="true"/>
  </cols>
  <sheetData>
    <row r="1" spans="1:13">
      <c r="A1" s="47" t="s">
        <v>149</v>
      </c>
      <c r="B1" s="12" t="s"/>
      <c r="C1" s="12" t="s"/>
      <c r="D1" s="89" t="s">
        <v>150</v>
      </c>
      <c r="E1" s="90" t="s"/>
      <c r="F1" s="90" t="s"/>
      <c r="G1" s="90" t="s"/>
      <c r="H1" s="90" t="s"/>
      <c r="I1" s="49" t="s">
        <v>151</v>
      </c>
      <c r="J1" s="12" t="s"/>
      <c r="K1" s="12" t="s"/>
      <c r="L1" s="12" t="s"/>
      <c r="M1" s="12" t="s"/>
    </row>
    <row r="2" spans="1:13">
      <c r="A2" s="91" t="s">
        <v>152</v>
      </c>
      <c r="B2" s="91" t="s">
        <v>153</v>
      </c>
      <c r="C2" s="91" t="s">
        <v>52</v>
      </c>
      <c r="D2" s="92" t="s">
        <v>154</v>
      </c>
      <c r="E2" s="92" t="s">
        <v>155</v>
      </c>
      <c r="F2" s="92" t="s">
        <v>55</v>
      </c>
      <c r="G2" s="92" t="s">
        <v>56</v>
      </c>
      <c r="H2" s="93" t="s">
        <v>156</v>
      </c>
      <c r="I2" s="94" t="s">
        <v>154</v>
      </c>
      <c r="J2" s="94" t="s">
        <v>155</v>
      </c>
      <c r="K2" s="94" t="s">
        <v>55</v>
      </c>
      <c r="L2" s="94" t="s">
        <v>56</v>
      </c>
      <c r="M2" s="94" t="s">
        <v>156</v>
      </c>
    </row>
    <row r="3" spans="1:13">
      <c r="A3" s="5" t="s">
        <v>157</v>
      </c>
      <c r="B3" s="5" t="s">
        <v>158</v>
      </c>
      <c r="C3" s="7" t="s"/>
      <c r="D3" s="18">
        <v>0.1</v>
      </c>
      <c r="E3" s="18">
        <v>0.2</v>
      </c>
      <c r="F3" s="18">
        <v>0.4</v>
      </c>
      <c r="G3" s="18">
        <v>0.8</v>
      </c>
      <c r="H3" s="18">
        <v>1.6</v>
      </c>
      <c r="I3" s="95">
        <v>0.0154</v>
      </c>
      <c r="J3" s="95">
        <v>0.0308</v>
      </c>
      <c r="K3" s="95">
        <v>0.0616</v>
      </c>
      <c r="L3" s="95">
        <v>0.1232</v>
      </c>
      <c r="M3" s="95">
        <v>0.2464</v>
      </c>
    </row>
    <row r="4" spans="1:13">
      <c r="A4" s="12" t="s"/>
      <c r="B4" s="5" t="s">
        <v>159</v>
      </c>
      <c r="C4" s="7" t="s"/>
      <c r="D4" s="18">
        <v>0.1</v>
      </c>
      <c r="E4" s="18">
        <v>0.2</v>
      </c>
      <c r="F4" s="18">
        <v>0.4</v>
      </c>
      <c r="G4" s="18">
        <v>0.8</v>
      </c>
      <c r="H4" s="18">
        <v>1.6</v>
      </c>
      <c r="I4" s="96">
        <v>0.0154</v>
      </c>
      <c r="J4" s="96">
        <v>0.0308</v>
      </c>
      <c r="K4" s="96">
        <v>0.0616</v>
      </c>
      <c r="L4" s="96">
        <v>0.1232</v>
      </c>
      <c r="M4" s="96">
        <v>0.2464</v>
      </c>
    </row>
    <row r="5" spans="1:13">
      <c r="A5" s="12" t="s"/>
      <c r="B5" s="5" t="s">
        <v>160</v>
      </c>
      <c r="C5" s="7" t="s"/>
      <c r="D5" s="18">
        <v>0.02</v>
      </c>
      <c r="E5" s="18">
        <v>0.04</v>
      </c>
      <c r="F5" s="18">
        <v>0.08</v>
      </c>
      <c r="G5" s="18">
        <v>0.16</v>
      </c>
      <c r="H5" s="18">
        <v>0.32</v>
      </c>
      <c r="I5" s="20">
        <v>0.00308</v>
      </c>
      <c r="J5" s="20">
        <v>0.00616</v>
      </c>
      <c r="K5" s="20">
        <v>0.01232</v>
      </c>
      <c r="L5" s="20">
        <v>0.02464</v>
      </c>
      <c r="M5" s="20">
        <v>0.04928</v>
      </c>
    </row>
    <row r="6" spans="1:13">
      <c r="A6" s="12" t="s"/>
      <c r="B6" s="5" t="s">
        <v>161</v>
      </c>
      <c r="C6" s="7" t="s"/>
      <c r="D6" s="18">
        <v>1</v>
      </c>
      <c r="E6" s="18">
        <v>1</v>
      </c>
      <c r="F6" s="18">
        <v>1</v>
      </c>
      <c r="G6" s="18" t="s">
        <v>59</v>
      </c>
      <c r="H6" s="18" t="s">
        <v>59</v>
      </c>
      <c r="I6" s="20">
        <v>0.154</v>
      </c>
      <c r="J6" s="20">
        <v>0.154</v>
      </c>
      <c r="K6" s="20">
        <v>0.154</v>
      </c>
      <c r="L6" s="18" t="s">
        <v>59</v>
      </c>
      <c r="M6" s="18" t="s">
        <v>59</v>
      </c>
    </row>
    <row r="7" spans="1:13">
      <c r="A7" s="12" t="s"/>
      <c r="B7" s="5" t="s">
        <v>162</v>
      </c>
      <c r="C7" s="7" t="s"/>
      <c r="D7" s="18">
        <v>1</v>
      </c>
      <c r="E7" s="18">
        <v>1</v>
      </c>
      <c r="F7" s="18">
        <v>1</v>
      </c>
      <c r="G7" s="18" t="s">
        <v>59</v>
      </c>
      <c r="H7" s="18" t="s">
        <v>59</v>
      </c>
      <c r="I7" s="20">
        <v>0.154</v>
      </c>
      <c r="J7" s="20">
        <v>0.154</v>
      </c>
      <c r="K7" s="20">
        <v>0.154</v>
      </c>
      <c r="L7" s="18" t="s">
        <v>59</v>
      </c>
      <c r="M7" s="18" t="s">
        <v>59</v>
      </c>
    </row>
    <row r="8" spans="1:13">
      <c r="A8" s="50" t="s"/>
      <c r="B8" s="50" t="s"/>
      <c r="C8" s="50" t="s"/>
      <c r="D8" s="50" t="s"/>
      <c r="E8" s="50" t="s"/>
      <c r="F8" s="50" t="s"/>
      <c r="G8" s="50" t="s"/>
      <c r="H8" s="50" t="s"/>
      <c r="I8" s="50" t="s"/>
      <c r="J8" s="50" t="s"/>
      <c r="K8" s="50" t="s"/>
      <c r="L8" s="50" t="s"/>
      <c r="M8" s="50" t="s"/>
    </row>
    <row r="9" spans="1:13">
      <c r="A9" s="47" t="s">
        <v>163</v>
      </c>
      <c r="B9" s="12" t="s"/>
      <c r="C9" s="12" t="s"/>
      <c r="D9" s="89" t="s">
        <v>150</v>
      </c>
      <c r="E9" s="90" t="s"/>
      <c r="F9" s="90" t="s"/>
      <c r="G9" s="90" t="s"/>
      <c r="H9" s="90" t="s"/>
      <c r="I9" s="49" t="s">
        <v>151</v>
      </c>
      <c r="J9" s="12" t="s"/>
      <c r="K9" s="12" t="s"/>
      <c r="L9" s="12" t="s"/>
      <c r="M9" s="12" t="s"/>
    </row>
    <row r="10" spans="1:13">
      <c r="A10" s="91" t="s">
        <v>152</v>
      </c>
      <c r="B10" s="91" t="s">
        <v>153</v>
      </c>
      <c r="C10" s="91" t="s">
        <v>52</v>
      </c>
      <c r="D10" s="92" t="s">
        <v>154</v>
      </c>
      <c r="E10" s="92" t="s">
        <v>155</v>
      </c>
      <c r="F10" s="92" t="s">
        <v>55</v>
      </c>
      <c r="G10" s="92" t="s">
        <v>56</v>
      </c>
      <c r="H10" s="93" t="s">
        <v>156</v>
      </c>
      <c r="I10" s="94" t="s">
        <v>154</v>
      </c>
      <c r="J10" s="94" t="s">
        <v>155</v>
      </c>
      <c r="K10" s="94" t="s">
        <v>55</v>
      </c>
      <c r="L10" s="94" t="s">
        <v>56</v>
      </c>
      <c r="M10" s="94" t="s">
        <v>156</v>
      </c>
    </row>
    <row r="11" spans="1:13">
      <c r="A11" s="6" t="s">
        <v>164</v>
      </c>
      <c r="B11" s="9" t="s">
        <v>165</v>
      </c>
      <c r="C11" s="5" t="s">
        <v>166</v>
      </c>
      <c r="D11" s="97">
        <v>0.021</v>
      </c>
      <c r="E11" s="97">
        <v>0.048</v>
      </c>
      <c r="F11" s="97">
        <v>0.086</v>
      </c>
      <c r="G11" s="97">
        <v>0.193</v>
      </c>
      <c r="H11" s="97">
        <v>0.773</v>
      </c>
      <c r="I11" s="97">
        <v>0.0038</v>
      </c>
      <c r="J11" s="97">
        <v>0.0085</v>
      </c>
      <c r="K11" s="97">
        <v>0.0152</v>
      </c>
      <c r="L11" s="97">
        <v>0.034</v>
      </c>
      <c r="M11" s="97">
        <v>0.1363</v>
      </c>
    </row>
    <row r="12" spans="1:13">
      <c r="A12" s="12" t="s"/>
      <c r="B12" s="12" t="s"/>
      <c r="C12" s="5" t="s">
        <v>167</v>
      </c>
      <c r="D12" s="97">
        <v>0.041</v>
      </c>
      <c r="E12" s="97">
        <v>0.096</v>
      </c>
      <c r="F12" s="97">
        <v>0.171</v>
      </c>
      <c r="G12" s="97">
        <v>0.386</v>
      </c>
      <c r="H12" s="97">
        <v>1.546</v>
      </c>
      <c r="I12" s="97">
        <v>0.0073</v>
      </c>
      <c r="J12" s="98">
        <v>0.017</v>
      </c>
      <c r="K12" s="97">
        <v>0.0302</v>
      </c>
      <c r="L12" s="97">
        <v>0.0681</v>
      </c>
      <c r="M12" s="97">
        <v>0.2727</v>
      </c>
    </row>
    <row r="13" spans="1:13">
      <c r="A13" s="12" t="s"/>
      <c r="B13" s="12" t="s"/>
      <c r="C13" s="5" t="s">
        <v>168</v>
      </c>
      <c r="D13" s="97">
        <v>0.086</v>
      </c>
      <c r="E13" s="97">
        <v>0.193</v>
      </c>
      <c r="F13" s="97">
        <v>0.345</v>
      </c>
      <c r="G13" s="97">
        <v>0.773</v>
      </c>
      <c r="H13" s="97">
        <v>3.093</v>
      </c>
      <c r="I13" s="97">
        <v>0.0152</v>
      </c>
      <c r="J13" s="98">
        <v>0.034</v>
      </c>
      <c r="K13" s="97">
        <v>0.0608</v>
      </c>
      <c r="L13" s="97">
        <v>0.1363</v>
      </c>
      <c r="M13" s="97">
        <v>0.5455</v>
      </c>
    </row>
    <row r="14" spans="1:13">
      <c r="A14" s="12" t="s"/>
      <c r="B14" s="99" t="s">
        <v>169</v>
      </c>
      <c r="C14" s="5" t="s">
        <v>166</v>
      </c>
      <c r="D14" s="97">
        <v>0.041</v>
      </c>
      <c r="E14" s="97">
        <v>0.093</v>
      </c>
      <c r="F14" s="97">
        <v>0.166</v>
      </c>
      <c r="G14" s="97">
        <v>0.373</v>
      </c>
      <c r="H14" s="97">
        <v>1.493</v>
      </c>
      <c r="I14" s="97">
        <v>0.0073</v>
      </c>
      <c r="J14" s="97">
        <v>0.0164</v>
      </c>
      <c r="K14" s="97">
        <v>0.0293</v>
      </c>
      <c r="L14" s="97">
        <v>0.0658</v>
      </c>
      <c r="M14" s="97">
        <v>0.2633</v>
      </c>
    </row>
    <row r="15" spans="1:13">
      <c r="A15" s="12" t="s"/>
      <c r="B15" s="34" t="s"/>
      <c r="C15" s="5" t="s">
        <v>167</v>
      </c>
      <c r="D15" s="97">
        <v>0.081</v>
      </c>
      <c r="E15" s="97">
        <v>0.186</v>
      </c>
      <c r="F15" s="97">
        <v>0.331</v>
      </c>
      <c r="G15" s="97">
        <v>0.746</v>
      </c>
      <c r="H15" s="97">
        <v>2.986</v>
      </c>
      <c r="I15" s="97">
        <v>0.0143</v>
      </c>
      <c r="J15" s="97">
        <v>0.0329</v>
      </c>
      <c r="K15" s="97">
        <v>0.0584</v>
      </c>
      <c r="L15" s="97">
        <v>0.1316</v>
      </c>
      <c r="M15" s="97">
        <v>0.5267</v>
      </c>
    </row>
    <row r="16" spans="1:13">
      <c r="A16" s="12" t="s"/>
      <c r="B16" s="34" t="s"/>
      <c r="C16" s="58" t="s">
        <v>168</v>
      </c>
      <c r="D16" s="100">
        <v>0.166</v>
      </c>
      <c r="E16" s="100">
        <v>0.373</v>
      </c>
      <c r="F16" s="100">
        <v>0.665</v>
      </c>
      <c r="G16" s="100">
        <v>1.493</v>
      </c>
      <c r="H16" s="100">
        <v>5.973</v>
      </c>
      <c r="I16" s="100">
        <v>0.0293</v>
      </c>
      <c r="J16" s="100">
        <v>0.0658</v>
      </c>
      <c r="K16" s="100">
        <v>0.1172</v>
      </c>
      <c r="L16" s="100">
        <v>0.2633</v>
      </c>
      <c r="M16" s="100">
        <v>1.0534</v>
      </c>
    </row>
    <row r="17" spans="1:13">
      <c r="A17" s="12" t="s"/>
      <c r="B17" s="5" t="s">
        <v>170</v>
      </c>
      <c r="C17" s="5" t="s">
        <v>59</v>
      </c>
      <c r="D17" s="18">
        <v>1.5</v>
      </c>
      <c r="E17" s="18">
        <v>2</v>
      </c>
      <c r="F17" s="18">
        <v>2.4</v>
      </c>
      <c r="G17" s="18">
        <v>2.88</v>
      </c>
      <c r="H17" s="95" t="s">
        <v>59</v>
      </c>
      <c r="I17" s="20">
        <v>0.231</v>
      </c>
      <c r="J17" s="20">
        <v>0.308</v>
      </c>
      <c r="K17" s="20">
        <v>0.3696</v>
      </c>
      <c r="L17" s="20">
        <v>0.44352</v>
      </c>
      <c r="M17" s="95" t="s">
        <v>59</v>
      </c>
    </row>
    <row r="18" spans="1:13">
      <c r="A18" s="12" t="s"/>
      <c r="B18" s="5" t="s">
        <v>171</v>
      </c>
      <c r="C18" s="5" t="s">
        <v>59</v>
      </c>
      <c r="D18" s="18">
        <v>1.2</v>
      </c>
      <c r="E18" s="18">
        <v>1.5</v>
      </c>
      <c r="F18" s="18">
        <f>=E18*1.2</f>
        <v>1.8</v>
      </c>
      <c r="G18" s="18">
        <f>=F18*1.2</f>
        <v>2.16</v>
      </c>
      <c r="H18" s="95" t="s">
        <v>59</v>
      </c>
      <c r="I18" s="20" t="s">
        <v>172</v>
      </c>
      <c r="J18" s="20">
        <f>=E18/6.5</f>
        <v>0.230769230769231</v>
      </c>
      <c r="K18" s="20">
        <f>=F18/6.5</f>
        <v>0.276923076923077</v>
      </c>
      <c r="L18" s="20">
        <f>=G18/6.5</f>
        <v>0.332307692307692</v>
      </c>
      <c r="M18" s="95" t="s">
        <v>59</v>
      </c>
    </row>
    <row r="19" spans="1:13">
      <c r="A19" s="12" t="s"/>
      <c r="B19" s="5" t="s">
        <v>173</v>
      </c>
      <c r="C19" s="5" t="s">
        <v>59</v>
      </c>
      <c r="D19" s="57">
        <v>1.5</v>
      </c>
      <c r="E19" s="57">
        <v>1.5</v>
      </c>
      <c r="F19" s="57">
        <v>2.25</v>
      </c>
      <c r="G19" s="57">
        <v>3</v>
      </c>
      <c r="H19" s="95" t="s">
        <v>59</v>
      </c>
      <c r="I19" s="101">
        <v>0.2</v>
      </c>
      <c r="J19" s="101">
        <v>0.2</v>
      </c>
      <c r="K19" s="101">
        <v>0.3</v>
      </c>
      <c r="L19" s="101">
        <v>0.4</v>
      </c>
      <c r="M19" s="95" t="s">
        <v>59</v>
      </c>
    </row>
    <row r="20" spans="1:13">
      <c r="A20" s="50" t="s"/>
      <c r="B20" s="50" t="s"/>
      <c r="C20" s="50" t="s"/>
      <c r="D20" s="50" t="s"/>
      <c r="E20" s="50" t="s"/>
      <c r="F20" s="50" t="s"/>
      <c r="G20" s="50" t="s"/>
      <c r="H20" s="50" t="s"/>
      <c r="I20" s="50" t="s"/>
      <c r="J20" s="50" t="s"/>
      <c r="K20" s="50" t="s"/>
      <c r="L20" s="50" t="s"/>
      <c r="M20" s="50" t="s"/>
    </row>
    <row r="21" spans="1:13">
      <c r="A21" s="47" t="s">
        <v>174</v>
      </c>
      <c r="B21" s="12" t="s"/>
      <c r="C21" s="12" t="s"/>
      <c r="D21" s="48" t="s">
        <v>175</v>
      </c>
      <c r="E21" s="12" t="s"/>
      <c r="F21" s="49" t="s">
        <v>176</v>
      </c>
      <c r="G21" s="12" t="s"/>
      <c r="H21" s="50" t="s"/>
      <c r="I21" s="50" t="s"/>
      <c r="J21" s="50" t="s"/>
      <c r="K21" s="50" t="s"/>
      <c r="L21" s="50" t="s"/>
      <c r="M21" s="50" t="s"/>
    </row>
    <row r="22" spans="1:13">
      <c r="A22" s="91" t="s">
        <v>152</v>
      </c>
      <c r="B22" s="91" t="s">
        <v>153</v>
      </c>
      <c r="C22" s="91" t="s">
        <v>177</v>
      </c>
      <c r="D22" s="92" t="s">
        <v>178</v>
      </c>
      <c r="E22" s="92" t="s">
        <v>179</v>
      </c>
      <c r="F22" s="94" t="s">
        <v>178</v>
      </c>
      <c r="G22" s="94" t="s">
        <v>179</v>
      </c>
      <c r="H22" s="50" t="s"/>
      <c r="I22" s="50" t="s"/>
      <c r="J22" s="50" t="s"/>
      <c r="K22" s="50" t="s"/>
      <c r="L22" s="50" t="s"/>
      <c r="M22" s="50" t="s"/>
    </row>
    <row r="23" spans="1:13">
      <c r="A23" s="5" t="s">
        <v>180</v>
      </c>
      <c r="B23" s="5" t="s">
        <v>181</v>
      </c>
      <c r="C23" s="5" t="s">
        <v>182</v>
      </c>
      <c r="D23" s="18">
        <v>0.05</v>
      </c>
      <c r="E23" s="95" t="s">
        <v>183</v>
      </c>
      <c r="F23" s="20">
        <v>0.007</v>
      </c>
      <c r="G23" s="95" t="s">
        <v>184</v>
      </c>
      <c r="H23" s="50" t="s"/>
      <c r="I23" s="50" t="s"/>
      <c r="J23" s="50" t="s"/>
      <c r="K23" s="50" t="s"/>
      <c r="L23" s="50" t="s"/>
      <c r="M23" s="50" t="s"/>
    </row>
    <row r="24" spans="1:13">
      <c r="A24" s="12" t="s"/>
      <c r="B24" s="5" t="s">
        <v>185</v>
      </c>
      <c r="C24" s="5" t="s">
        <v>186</v>
      </c>
      <c r="D24" s="18">
        <v>0.05</v>
      </c>
      <c r="E24" s="95" t="s">
        <v>183</v>
      </c>
      <c r="F24" s="20">
        <v>0.007</v>
      </c>
      <c r="G24" s="95" t="s">
        <v>184</v>
      </c>
      <c r="H24" s="50" t="s"/>
      <c r="I24" s="50" t="s"/>
      <c r="J24" s="50" t="s"/>
      <c r="K24" s="50" t="s"/>
      <c r="L24" s="50" t="s"/>
      <c r="M24" s="50" t="s"/>
    </row>
    <row r="25" spans="1:13">
      <c r="A25" s="12" t="s"/>
      <c r="B25" s="5" t="s">
        <v>187</v>
      </c>
      <c r="C25" s="7" t="s"/>
      <c r="D25" s="18">
        <v>0.25</v>
      </c>
      <c r="E25" s="95" t="s">
        <v>183</v>
      </c>
      <c r="F25" s="20">
        <v>0.035</v>
      </c>
      <c r="G25" s="95" t="s">
        <v>184</v>
      </c>
      <c r="H25" s="50" t="s"/>
      <c r="I25" s="50" t="s"/>
      <c r="J25" s="50" t="s"/>
      <c r="K25" s="50" t="s"/>
      <c r="L25" s="50" t="s"/>
      <c r="M25" s="50" t="s"/>
    </row>
    <row r="26" spans="1:13">
      <c r="A26" s="12" t="s"/>
      <c r="B26" s="5" t="s">
        <v>188</v>
      </c>
      <c r="C26" s="7" t="s"/>
      <c r="D26" s="18">
        <v>0.25</v>
      </c>
      <c r="E26" s="95" t="s">
        <v>183</v>
      </c>
      <c r="F26" s="20">
        <v>0.035</v>
      </c>
      <c r="G26" s="95" t="s">
        <v>184</v>
      </c>
      <c r="H26" s="50" t="s"/>
      <c r="I26" s="50" t="s"/>
      <c r="J26" s="50" t="s"/>
      <c r="K26" s="50" t="s"/>
      <c r="L26" s="50" t="s"/>
      <c r="M26" s="50" t="s"/>
    </row>
    <row r="27" spans="1:13">
      <c r="A27" s="12" t="s"/>
      <c r="B27" s="46" t="s">
        <v>293</v>
      </c>
      <c r="C27" s="63" t="s"/>
      <c r="D27" s="18">
        <v>0.05</v>
      </c>
      <c r="E27" s="95" t="s">
        <v>183</v>
      </c>
      <c r="F27" s="20">
        <v>0.007</v>
      </c>
      <c r="G27" s="95" t="s">
        <v>184</v>
      </c>
      <c r="H27" s="50" t="s"/>
      <c r="I27" s="50" t="s"/>
      <c r="J27" s="50" t="s"/>
      <c r="K27" s="50" t="s"/>
      <c r="L27" s="50" t="s"/>
      <c r="M27" s="50" t="s"/>
    </row>
    <row r="28" spans="1:13">
      <c r="A28" s="12" t="s"/>
      <c r="B28" s="5" t="s">
        <v>189</v>
      </c>
      <c r="C28" s="5" t="s">
        <v>190</v>
      </c>
      <c r="D28" s="18">
        <v>0.47</v>
      </c>
      <c r="E28" s="95" t="s">
        <v>183</v>
      </c>
      <c r="F28" s="95">
        <v>0.0724</v>
      </c>
      <c r="G28" s="95" t="s">
        <v>184</v>
      </c>
      <c r="H28" s="50" t="s"/>
      <c r="I28" s="50" t="s"/>
      <c r="J28" s="50" t="s"/>
      <c r="K28" s="50" t="s"/>
      <c r="L28" s="50" t="s"/>
      <c r="M28" s="50" t="s"/>
    </row>
    <row r="29" spans="1:13">
      <c r="A29" s="12" t="s"/>
      <c r="B29" s="5" t="s">
        <v>191</v>
      </c>
      <c r="C29" s="6" t="s">
        <v>192</v>
      </c>
      <c r="D29" s="95">
        <f>=ROUNDUP(0.03125*15,3)</f>
        <v>0.469</v>
      </c>
      <c r="E29" s="95" t="s">
        <v>183</v>
      </c>
      <c r="F29" s="20">
        <f>=15*0.005</f>
        <v>0.075</v>
      </c>
      <c r="G29" s="95" t="s">
        <v>184</v>
      </c>
      <c r="H29" s="50" t="s"/>
      <c r="I29" s="50" t="s"/>
      <c r="J29" s="50" t="s"/>
      <c r="K29" s="50" t="s"/>
      <c r="L29" s="50" t="s"/>
      <c r="M29" s="50" t="s"/>
    </row>
    <row r="30" spans="1:13">
      <c r="A30" s="12" t="s"/>
      <c r="B30" s="46" t="s">
        <v>294</v>
      </c>
      <c r="C30" s="6" t="s">
        <v>193</v>
      </c>
      <c r="D30" s="95">
        <v>9.375</v>
      </c>
      <c r="E30" s="95" t="s">
        <v>183</v>
      </c>
      <c r="F30" s="20">
        <v>1.5</v>
      </c>
      <c r="G30" s="95" t="s">
        <v>184</v>
      </c>
      <c r="H30" s="50" t="s"/>
      <c r="I30" s="50" t="s"/>
      <c r="J30" s="50" t="s"/>
      <c r="K30" s="50" t="s"/>
      <c r="L30" s="50" t="s"/>
      <c r="M30" s="50" t="s"/>
    </row>
    <row r="31" spans="1:13">
      <c r="A31" s="12" t="s"/>
      <c r="B31" s="46" t="s">
        <v>295</v>
      </c>
      <c r="C31" s="6" t="s">
        <v>194</v>
      </c>
      <c r="D31" s="95">
        <v>0.3125</v>
      </c>
      <c r="E31" s="95" t="s">
        <v>195</v>
      </c>
      <c r="F31" s="20">
        <v>0.05</v>
      </c>
      <c r="G31" s="95" t="s">
        <v>196</v>
      </c>
      <c r="H31" s="50" t="s"/>
      <c r="I31" s="50" t="s"/>
      <c r="J31" s="50" t="s"/>
      <c r="K31" s="50" t="s"/>
      <c r="L31" s="50" t="s"/>
      <c r="M31" s="50" t="s"/>
    </row>
    <row r="32" spans="1:13">
      <c r="A32" s="12" t="s"/>
      <c r="B32" s="5" t="s">
        <v>197</v>
      </c>
      <c r="C32" s="6" t="s">
        <v>198</v>
      </c>
      <c r="D32" s="95">
        <f>=F32*7.5</f>
        <v>0.075</v>
      </c>
      <c r="E32" s="95" t="s">
        <v>183</v>
      </c>
      <c r="F32" s="20">
        <v>0.01</v>
      </c>
      <c r="G32" s="95" t="s">
        <v>184</v>
      </c>
      <c r="H32" s="50" t="s"/>
      <c r="I32" s="50" t="s"/>
      <c r="J32" s="50" t="s"/>
      <c r="K32" s="50" t="s"/>
      <c r="L32" s="50" t="s"/>
      <c r="M32" s="50" t="s"/>
    </row>
    <row r="33" spans="1:13">
      <c r="A33" s="12" t="s"/>
      <c r="B33" s="5" t="s">
        <v>199</v>
      </c>
      <c r="C33" s="6" t="s">
        <v>200</v>
      </c>
      <c r="D33" s="18">
        <v>200</v>
      </c>
      <c r="E33" s="95" t="s">
        <v>183</v>
      </c>
      <c r="F33" s="20">
        <v>30.8</v>
      </c>
      <c r="G33" s="95" t="s">
        <v>184</v>
      </c>
      <c r="H33" s="50" t="s"/>
      <c r="I33" s="50" t="s"/>
      <c r="J33" s="50" t="s"/>
      <c r="K33" s="50" t="s"/>
      <c r="L33" s="50" t="s"/>
      <c r="M33" s="50" t="s"/>
    </row>
    <row r="34" spans="1:13">
      <c r="A34" s="12" t="s"/>
      <c r="B34" s="5" t="s">
        <v>201</v>
      </c>
      <c r="C34" s="5" t="s">
        <v>202</v>
      </c>
      <c r="D34" s="18">
        <v>5</v>
      </c>
      <c r="E34" s="95" t="s">
        <v>183</v>
      </c>
      <c r="F34" s="20">
        <v>0.77</v>
      </c>
      <c r="G34" s="95" t="s">
        <v>184</v>
      </c>
      <c r="H34" s="50" t="s"/>
      <c r="I34" s="50" t="s"/>
      <c r="J34" s="50" t="s"/>
      <c r="K34" s="50" t="s"/>
      <c r="L34" s="50" t="s"/>
      <c r="M34" s="50" t="s"/>
    </row>
    <row r="35" spans="1:13">
      <c r="A35" s="12" t="s"/>
      <c r="B35" s="5" t="s">
        <v>203</v>
      </c>
      <c r="C35" s="5" t="s">
        <v>204</v>
      </c>
      <c r="D35" s="20">
        <v>0.3125</v>
      </c>
      <c r="E35" s="95" t="s">
        <v>183</v>
      </c>
      <c r="F35" s="20">
        <v>0.05</v>
      </c>
      <c r="G35" s="95" t="s">
        <v>184</v>
      </c>
      <c r="H35" s="50" t="s"/>
      <c r="I35" s="50" t="s"/>
      <c r="J35" s="50" t="s"/>
      <c r="K35" s="50" t="s"/>
      <c r="L35" s="50" t="s"/>
      <c r="M35" s="50" t="s"/>
    </row>
  </sheetData>
  <mergeCells count="14">
    <mergeCell ref="A1:C1"/>
    <mergeCell ref="D1:H1"/>
    <mergeCell ref="I1:M1"/>
    <mergeCell ref="A3:A7"/>
    <mergeCell ref="A9:C9"/>
    <mergeCell ref="D9:H9"/>
    <mergeCell ref="I9:M9"/>
    <mergeCell ref="A11:A19"/>
    <mergeCell ref="B11:B13"/>
    <mergeCell ref="B14:B16"/>
    <mergeCell ref="A21:C21"/>
    <mergeCell ref="D21:E21"/>
    <mergeCell ref="F21:G21"/>
    <mergeCell ref="A23:A35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2026-06-30T14:03:54Z</dcterms:created>
  <dcterms:modified xsi:type="dcterms:W3CDTF">2026-06-30T14:03:54Z</dcterms:modified>
</cp:coreProperties>
</file>