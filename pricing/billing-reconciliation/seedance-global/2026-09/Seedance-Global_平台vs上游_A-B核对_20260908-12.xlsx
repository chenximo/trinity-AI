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汇总对照" sheetId="1" state="visible" r:id="rId1"/>
    <sheet xmlns:r="http://schemas.openxmlformats.org/officeDocument/2006/relationships" name="账号拆分" sheetId="2" state="visible" r:id="rId2"/>
    <sheet xmlns:r="http://schemas.openxmlformats.org/officeDocument/2006/relationships" name="平台按模型" sheetId="3" state="visible" r:id="rId3"/>
    <sheet xmlns:r="http://schemas.openxmlformats.org/officeDocument/2006/relationships" name="待补上游账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wrapText="1"/>
    </xf>
    <xf numFmtId="0" fontId="0" fillId="4" borderId="1" pivotButton="0" quotePrefix="0" xfId="0"/>
    <xf numFmtId="4" fontId="0" fillId="4" borderId="1" pivotButton="0" quotePrefix="0" xfId="0"/>
    <xf numFmtId="4" fontId="1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4" fontId="1" fillId="5" borderId="1" pivotButton="0" quotePrefix="0" xfId="0"/>
    <xf numFmtId="0" fontId="0" fillId="6" borderId="1" pivotButton="0" quotePrefix="0" xfId="0"/>
    <xf numFmtId="4" fontId="0" fillId="6" borderId="1" pivotButton="0" quotePrefix="0" xfId="0"/>
    <xf numFmtId="4" fontId="1" fillId="6" borderId="1" pivotButton="0" quotePrefix="0" xfId="0"/>
    <xf numFmtId="0" fontId="0" fillId="7" borderId="1" pivotButton="0" quotePrefix="0" xfId="0"/>
    <xf numFmtId="4" fontId="0" fillId="7" borderId="1" pivotButton="0" quotePrefix="0" xfId="0"/>
    <xf numFmtId="4" fontId="1" fillId="7" borderId="1" pivotButton="0" quotePrefix="0" xfId="0"/>
    <xf numFmtId="0" fontId="1" fillId="8" borderId="1" pivotButton="0" quotePrefix="0" xfId="0"/>
    <xf numFmtId="4" fontId="1" fillId="8" borderId="1" pivotButton="0" quotePrefix="0" xfId="0"/>
    <xf numFmtId="0" fontId="1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6" customWidth="1" min="3" max="3"/>
    <col width="15" customWidth="1" min="4" max="4"/>
    <col width="15" customWidth="1" min="5" max="5"/>
    <col width="15" customWidth="1" min="6" max="6"/>
    <col width="17" customWidth="1" min="7" max="7"/>
    <col width="10" customWidth="1" min="8" max="8"/>
    <col width="42" customWidth="1" min="9" max="9"/>
  </cols>
  <sheetData>
    <row r="1">
      <c r="A1" s="1" t="inlineStr">
        <is>
          <t>核对对象</t>
        </is>
      </c>
      <c r="B1" t="inlineStr">
        <is>
          <t>Seedance Global（平台） vs 火山 ModelArk 账号 A/B（上游）</t>
        </is>
      </c>
    </row>
    <row r="2">
      <c r="A2" s="1" t="inlineStr">
        <is>
          <t>平台来源</t>
        </is>
      </c>
      <c r="B2" t="inlineStr">
        <is>
          <t>billing-reconciliation-20260916-115544.csv</t>
        </is>
      </c>
    </row>
    <row r="3">
      <c r="A3" s="1" t="inlineStr">
        <is>
          <t>平台口径</t>
        </is>
      </c>
      <c r="B3" t="inlineStr">
        <is>
          <t>供应商=Seedance Global · 字段=平台成本(USD) · 按结算时间归日 · 用户 shilinrui@rayvision.com</t>
        </is>
      </c>
    </row>
    <row r="4">
      <c r="A4" s="1" t="inlineStr">
        <is>
          <t>上游来源</t>
        </is>
      </c>
      <c r="B4" t="inlineStr">
        <is>
          <t>账号a.xlsx（3004339907）+ 账号b.xlsx / 账号b-2.xlsx（3003308319）</t>
        </is>
      </c>
    </row>
    <row r="5">
      <c r="A5" s="1" t="inlineStr">
        <is>
          <t>上游口径</t>
        </is>
      </c>
      <c r="B5" t="inlineStr">
        <is>
          <t>税前金额 USD · 按消费/账单日归日；B 与 B-2 为同一账号不同天</t>
        </is>
      </c>
    </row>
    <row r="6">
      <c r="A6" s="1" t="inlineStr">
        <is>
          <t>差额公式</t>
        </is>
      </c>
      <c r="B6" t="inlineStr">
        <is>
          <t>平台成本 − 上游合计（正=平台多，负=平台少）</t>
        </is>
      </c>
    </row>
    <row r="7">
      <c r="A7" s="1" t="inlineStr">
        <is>
          <t>导出时间</t>
        </is>
      </c>
      <c r="B7" t="inlineStr">
        <is>
          <t>2026-09-16 19:18</t>
        </is>
      </c>
    </row>
    <row r="8"/>
    <row r="9">
      <c r="A9" s="2" t="inlineStr">
        <is>
          <t>日期</t>
        </is>
      </c>
      <c r="B9" s="2" t="inlineStr">
        <is>
          <t>平台成本(USD)</t>
        </is>
      </c>
      <c r="C9" s="2" t="inlineStr">
        <is>
          <t>平台用户花费(USD)</t>
        </is>
      </c>
      <c r="D9" s="2" t="inlineStr">
        <is>
          <t>账号A(USD)</t>
        </is>
      </c>
      <c r="E9" s="2" t="inlineStr">
        <is>
          <t>账号B(USD)</t>
        </is>
      </c>
      <c r="F9" s="2" t="inlineStr">
        <is>
          <t>上游合计(USD)</t>
        </is>
      </c>
      <c r="G9" s="2" t="inlineStr">
        <is>
          <t>差额=平台−上游</t>
        </is>
      </c>
      <c r="H9" s="2" t="inlineStr">
        <is>
          <t>判定</t>
        </is>
      </c>
      <c r="I9" s="2" t="inlineStr">
        <is>
          <t>备注</t>
        </is>
      </c>
    </row>
    <row r="10">
      <c r="A10" s="3" t="inlineStr">
        <is>
          <t>2026-09-07</t>
        </is>
      </c>
      <c r="B10" s="4" t="n">
        <v>0</v>
      </c>
      <c r="C10" s="4" t="n">
        <v>0</v>
      </c>
      <c r="D10" s="4" t="n">
        <v>376.27</v>
      </c>
      <c r="E10" s="3" t="n"/>
      <c r="F10" s="4" t="n">
        <v>376.27</v>
      </c>
      <c r="G10" s="5" t="n">
        <v>-376.27</v>
      </c>
      <c r="H10" s="3" t="inlineStr">
        <is>
          <t>平台少</t>
        </is>
      </c>
      <c r="I10" s="3" t="inlineStr">
        <is>
          <t>仅上游 A；平台无 Seedance 结算</t>
        </is>
      </c>
    </row>
    <row r="11">
      <c r="A11" s="6" t="inlineStr">
        <is>
          <t>2026-09-08</t>
        </is>
      </c>
      <c r="B11" s="7" t="n">
        <v>20416.53053225</v>
      </c>
      <c r="C11" s="7" t="n">
        <v>21010.15917422</v>
      </c>
      <c r="D11" s="7" t="n">
        <v>20368.04</v>
      </c>
      <c r="E11" s="6" t="n"/>
      <c r="F11" s="7" t="n">
        <v>20368.04</v>
      </c>
      <c r="G11" s="8" t="n">
        <v>48.49053225</v>
      </c>
      <c r="H11" s="6" t="inlineStr">
        <is>
          <t>几乎平</t>
        </is>
      </c>
      <c r="I11" s="6" t="inlineStr">
        <is>
          <t>仅 A，与平台基本对齐（可作校准锚）</t>
        </is>
      </c>
    </row>
    <row r="12">
      <c r="A12" s="3" t="inlineStr">
        <is>
          <t>2026-09-09</t>
        </is>
      </c>
      <c r="B12" s="4" t="n">
        <v>13644.14397325</v>
      </c>
      <c r="C12" s="4" t="n">
        <v>14781.37905078</v>
      </c>
      <c r="D12" s="4" t="n">
        <v>5171.31</v>
      </c>
      <c r="E12" s="4" t="n">
        <v>10475.97</v>
      </c>
      <c r="F12" s="4" t="n">
        <v>15647.28</v>
      </c>
      <c r="G12" s="5" t="n">
        <v>-2003.13602675</v>
      </c>
      <c r="H12" s="3" t="inlineStr">
        <is>
          <t>平台少</t>
        </is>
      </c>
      <c r="I12" s="3" t="inlineStr">
        <is>
          <t>A+B 并行；A≈33% / B≈67%</t>
        </is>
      </c>
    </row>
    <row r="13">
      <c r="A13" s="3" t="inlineStr">
        <is>
          <t>2026-09-10</t>
        </is>
      </c>
      <c r="B13" s="4" t="n">
        <v>6599.31895527</v>
      </c>
      <c r="C13" s="4" t="n">
        <v>7150.09241328</v>
      </c>
      <c r="D13" s="4" t="n">
        <v>8221.719999999999</v>
      </c>
      <c r="E13" s="4" t="n">
        <v>10134.1</v>
      </c>
      <c r="F13" s="4" t="n">
        <v>18355.82</v>
      </c>
      <c r="G13" s="5" t="n">
        <v>-11756.50104473</v>
      </c>
      <c r="H13" s="3" t="inlineStr">
        <is>
          <t>平台少</t>
        </is>
      </c>
      <c r="I13" s="3" t="inlineStr">
        <is>
          <t>A+B 并行；A≈45% / B≈55%；疑结算日错位</t>
        </is>
      </c>
    </row>
    <row r="14">
      <c r="A14" s="9" t="inlineStr">
        <is>
          <t>2026-09-11</t>
        </is>
      </c>
      <c r="B14" s="10" t="n">
        <v>59810.09071599</v>
      </c>
      <c r="C14" s="10" t="n">
        <v>64800.13911484</v>
      </c>
      <c r="D14" s="10" t="n">
        <v>7476.21</v>
      </c>
      <c r="E14" s="9" t="n"/>
      <c r="F14" s="10" t="n">
        <v>7476.21</v>
      </c>
      <c r="G14" s="11" t="n">
        <v>52333.88071599</v>
      </c>
      <c r="H14" s="9" t="inlineStr">
        <is>
          <t>平台多</t>
        </is>
      </c>
      <c r="I14" s="9" t="inlineStr">
        <is>
          <t>B 账单缺失（或新资源未交）；差额主体</t>
        </is>
      </c>
    </row>
    <row r="15">
      <c r="A15" s="12" t="inlineStr">
        <is>
          <t>2026-09-12</t>
        </is>
      </c>
      <c r="B15" s="13" t="n">
        <v>63.38933262</v>
      </c>
      <c r="C15" s="13" t="n">
        <v>72.40254971</v>
      </c>
      <c r="D15" s="12" t="n"/>
      <c r="E15" s="12" t="n"/>
      <c r="F15" s="12" t="n"/>
      <c r="G15" s="14" t="n">
        <v>63.38933262</v>
      </c>
      <c r="H15" s="12" t="inlineStr">
        <is>
          <t>平台多</t>
        </is>
      </c>
      <c r="I15" s="12" t="inlineStr">
        <is>
          <t>上游无账单</t>
        </is>
      </c>
    </row>
    <row r="16">
      <c r="A16" s="15" t="inlineStr">
        <is>
          <t>合计</t>
        </is>
      </c>
      <c r="B16" s="16">
        <f>SUM(B10:B15)</f>
        <v/>
      </c>
      <c r="C16" s="16">
        <f>SUM(C10:C15)</f>
        <v/>
      </c>
      <c r="D16" s="16">
        <f>SUM(D10:D15)</f>
        <v/>
      </c>
      <c r="E16" s="16">
        <f>SUM(E10:E15)</f>
        <v/>
      </c>
      <c r="F16" s="16">
        <f>SUM(F10:F15)</f>
        <v/>
      </c>
      <c r="G16" s="16">
        <f>SUM(G10:G15)</f>
        <v/>
      </c>
      <c r="H16" s="15" t="n"/>
      <c r="I16" s="15" t="n"/>
    </row>
    <row r="17"/>
    <row r="18">
      <c r="A18" s="17" t="inlineStr">
        <is>
          <t>说明</t>
        </is>
      </c>
    </row>
    <row r="19">
      <c r="A19" t="inlineStr">
        <is>
          <t>1. 平台侧结算导出无法区分火山账号 A/B，仅到供应商 Seedance Global / 上游 bytedance。</t>
        </is>
      </c>
    </row>
    <row r="20">
      <c r="A20" t="inlineStr">
        <is>
          <t>2. 账号 B 与 B-2 为同一火山账号 3003308319 的 09-09 / 09-10 两天导出，已合并为「账号B」列。</t>
        </is>
      </c>
    </row>
    <row r="21">
      <c r="A21" t="inlineStr">
        <is>
          <t>3. 09-11 平台多约 $52,334，主因是上游 B（或后续资源）账单未提供，不是单价突变。</t>
        </is>
      </c>
    </row>
    <row r="22">
      <c r="A22" t="inlineStr">
        <is>
          <t>4. 09-10 平台少约 $11,757，可能含结算日错位，不能单用「缺上游」解释。</t>
        </is>
      </c>
    </row>
    <row r="23">
      <c r="A23" t="inlineStr">
        <is>
          <t>5. 精确总差约 $38,309.85；表内为两位小数汇总。</t>
        </is>
      </c>
    </row>
  </sheetData>
  <mergeCells count="12">
    <mergeCell ref="A19:I19"/>
    <mergeCell ref="B7:I7"/>
    <mergeCell ref="B6:I6"/>
    <mergeCell ref="A21:I21"/>
    <mergeCell ref="B2:I2"/>
    <mergeCell ref="A23:I23"/>
    <mergeCell ref="B3:I3"/>
    <mergeCell ref="B5:I5"/>
    <mergeCell ref="A22:I22"/>
    <mergeCell ref="B1:I1"/>
    <mergeCell ref="A20:I20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0" customWidth="1" min="5" max="5"/>
    <col width="12" customWidth="1" min="6" max="6"/>
  </cols>
  <sheetData>
    <row r="1">
      <c r="A1" s="2" t="inlineStr">
        <is>
          <t>日期</t>
        </is>
      </c>
      <c r="B1" s="2" t="inlineStr">
        <is>
          <t>账号</t>
        </is>
      </c>
      <c r="C1" s="2" t="inlineStr">
        <is>
          <t>账号ID</t>
        </is>
      </c>
      <c r="D1" s="2" t="inlineStr">
        <is>
          <t>金额(USD)</t>
        </is>
      </c>
      <c r="E1" s="2" t="inlineStr">
        <is>
          <t>占当日上游%</t>
        </is>
      </c>
      <c r="F1" s="2" t="inlineStr">
        <is>
          <t>数据来源文件</t>
        </is>
      </c>
    </row>
    <row r="2">
      <c r="A2" s="18" t="inlineStr">
        <is>
          <t>2026-09-07</t>
        </is>
      </c>
      <c r="B2" s="18" t="inlineStr">
        <is>
          <t>A</t>
        </is>
      </c>
      <c r="C2" s="18" t="inlineStr">
        <is>
          <t>3004339907</t>
        </is>
      </c>
      <c r="D2" s="19" t="n">
        <v>376.27</v>
      </c>
      <c r="E2" s="20" t="n">
        <v>1</v>
      </c>
      <c r="F2" s="18" t="inlineStr">
        <is>
          <t>账号a.xlsx</t>
        </is>
      </c>
    </row>
    <row r="3">
      <c r="A3" s="18" t="inlineStr">
        <is>
          <t>2026-09-08</t>
        </is>
      </c>
      <c r="B3" s="18" t="inlineStr">
        <is>
          <t>A</t>
        </is>
      </c>
      <c r="C3" s="18" t="inlineStr">
        <is>
          <t>3004339907</t>
        </is>
      </c>
      <c r="D3" s="19" t="n">
        <v>20368.04</v>
      </c>
      <c r="E3" s="20" t="n">
        <v>1</v>
      </c>
      <c r="F3" s="18" t="inlineStr">
        <is>
          <t>账号a.xlsx</t>
        </is>
      </c>
    </row>
    <row r="4">
      <c r="A4" s="18" t="inlineStr">
        <is>
          <t>2026-09-09</t>
        </is>
      </c>
      <c r="B4" s="18" t="inlineStr">
        <is>
          <t>A</t>
        </is>
      </c>
      <c r="C4" s="18" t="inlineStr">
        <is>
          <t>3004339907</t>
        </is>
      </c>
      <c r="D4" s="19" t="n">
        <v>5171.31</v>
      </c>
      <c r="E4" s="20" t="n">
        <v>0.3304925840146019</v>
      </c>
      <c r="F4" s="18" t="inlineStr">
        <is>
          <t>账号a.xlsx</t>
        </is>
      </c>
    </row>
    <row r="5">
      <c r="A5" s="18" t="inlineStr">
        <is>
          <t>2026-09-09</t>
        </is>
      </c>
      <c r="B5" s="18" t="inlineStr">
        <is>
          <t>B</t>
        </is>
      </c>
      <c r="C5" s="18" t="inlineStr">
        <is>
          <t>3003308319</t>
        </is>
      </c>
      <c r="D5" s="19" t="n">
        <v>10475.97</v>
      </c>
      <c r="E5" s="20" t="n">
        <v>0.6695074159853981</v>
      </c>
      <c r="F5" s="18" t="inlineStr">
        <is>
          <t>账号b.xlsx</t>
        </is>
      </c>
    </row>
    <row r="6">
      <c r="A6" s="18" t="inlineStr">
        <is>
          <t>2026-09-10</t>
        </is>
      </c>
      <c r="B6" s="18" t="inlineStr">
        <is>
          <t>A</t>
        </is>
      </c>
      <c r="C6" s="18" t="inlineStr">
        <is>
          <t>3004339907</t>
        </is>
      </c>
      <c r="D6" s="19" t="n">
        <v>8221.719999999999</v>
      </c>
      <c r="E6" s="20" t="n">
        <v>0.4479080749320924</v>
      </c>
      <c r="F6" s="18" t="inlineStr">
        <is>
          <t>账号a.xlsx</t>
        </is>
      </c>
    </row>
    <row r="7">
      <c r="A7" s="18" t="inlineStr">
        <is>
          <t>2026-09-10</t>
        </is>
      </c>
      <c r="B7" s="18" t="inlineStr">
        <is>
          <t>B</t>
        </is>
      </c>
      <c r="C7" s="18" t="inlineStr">
        <is>
          <t>3003308319</t>
        </is>
      </c>
      <c r="D7" s="19" t="n">
        <v>10134.1</v>
      </c>
      <c r="E7" s="20" t="n">
        <v>0.5520919250679076</v>
      </c>
      <c r="F7" s="18" t="inlineStr">
        <is>
          <t>账号b-2.xlsx</t>
        </is>
      </c>
    </row>
    <row r="8">
      <c r="A8" s="18" t="inlineStr">
        <is>
          <t>2026-09-11</t>
        </is>
      </c>
      <c r="B8" s="18" t="inlineStr">
        <is>
          <t>A</t>
        </is>
      </c>
      <c r="C8" s="18" t="inlineStr">
        <is>
          <t>3004339907</t>
        </is>
      </c>
      <c r="D8" s="19" t="n">
        <v>7476.21</v>
      </c>
      <c r="E8" s="20" t="n">
        <v>1</v>
      </c>
      <c r="F8" s="18" t="inlineStr">
        <is>
          <t>账号a.xlsx</t>
        </is>
      </c>
    </row>
    <row r="9">
      <c r="A9" s="9" t="inlineStr">
        <is>
          <t>2026-09-11</t>
        </is>
      </c>
      <c r="B9" s="9" t="inlineStr">
        <is>
          <t>B</t>
        </is>
      </c>
      <c r="C9" s="9" t="inlineStr">
        <is>
          <t>3003308319</t>
        </is>
      </c>
      <c r="D9" s="9" t="n"/>
      <c r="E9" s="9" t="n"/>
      <c r="F9" s="9" t="inlineStr">
        <is>
          <t>缺失</t>
        </is>
      </c>
    </row>
    <row r="10">
      <c r="A10" s="9" t="inlineStr">
        <is>
          <t>2026-09-12</t>
        </is>
      </c>
      <c r="B10" s="9" t="inlineStr">
        <is>
          <t>A</t>
        </is>
      </c>
      <c r="C10" s="9" t="inlineStr">
        <is>
          <t>3004339907</t>
        </is>
      </c>
      <c r="D10" s="9" t="n"/>
      <c r="E10" s="9" t="n"/>
      <c r="F10" s="9" t="inlineStr">
        <is>
          <t>缺失</t>
        </is>
      </c>
    </row>
    <row r="11">
      <c r="A11" s="9" t="inlineStr">
        <is>
          <t>2026-09-12</t>
        </is>
      </c>
      <c r="B11" s="9" t="inlineStr">
        <is>
          <t>B</t>
        </is>
      </c>
      <c r="C11" s="9" t="inlineStr">
        <is>
          <t>3003308319</t>
        </is>
      </c>
      <c r="D11" s="9" t="n"/>
      <c r="E11" s="9" t="n"/>
      <c r="F11" s="9" t="inlineStr">
        <is>
          <t>缺失</t>
        </is>
      </c>
    </row>
    <row r="12"/>
    <row r="13">
      <c r="A13" s="17" t="inlineStr">
        <is>
          <t>A 合计（已交）</t>
        </is>
      </c>
      <c r="D13" s="21" t="n">
        <v>41613.55</v>
      </c>
    </row>
    <row r="14">
      <c r="A14" s="17" t="inlineStr">
        <is>
          <t>B 合计（已交）</t>
        </is>
      </c>
      <c r="D14" s="21" t="n">
        <v>20610.07</v>
      </c>
    </row>
    <row r="15">
      <c r="A15" s="17" t="inlineStr">
        <is>
          <t>上游合计</t>
        </is>
      </c>
      <c r="D15" s="21" t="n">
        <v>62223.62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7" customWidth="1" min="4" max="4"/>
    <col width="11" customWidth="1" min="5" max="5"/>
    <col width="25" customWidth="1" min="6" max="6"/>
  </cols>
  <sheetData>
    <row r="1">
      <c r="A1" s="2" t="inlineStr">
        <is>
          <t>结算日</t>
        </is>
      </c>
      <c r="B1" s="2" t="inlineStr">
        <is>
          <t>模型</t>
        </is>
      </c>
      <c r="C1" s="2" t="inlineStr">
        <is>
          <t>平台成本(USD)</t>
        </is>
      </c>
      <c r="D1" s="2" t="inlineStr">
        <is>
          <t>供应商</t>
        </is>
      </c>
      <c r="E1" s="2" t="inlineStr">
        <is>
          <t>上游厂商</t>
        </is>
      </c>
      <c r="F1" s="2" t="inlineStr">
        <is>
          <t>用户</t>
        </is>
      </c>
    </row>
    <row r="2">
      <c r="A2" s="18" t="inlineStr">
        <is>
          <t>2026-09-08</t>
        </is>
      </c>
      <c r="B2" s="18" t="inlineStr">
        <is>
          <t>dreamina-seedance-2-0-260128</t>
        </is>
      </c>
      <c r="C2" s="19" t="n">
        <v>2257.86524374</v>
      </c>
      <c r="D2" s="18" t="inlineStr">
        <is>
          <t>Seedance Global</t>
        </is>
      </c>
      <c r="E2" s="18" t="inlineStr">
        <is>
          <t>bytedance</t>
        </is>
      </c>
      <c r="F2" s="18" t="inlineStr">
        <is>
          <t>shilinrui@rayvision.com</t>
        </is>
      </c>
    </row>
    <row r="3">
      <c r="A3" s="18" t="inlineStr">
        <is>
          <t>2026-09-08</t>
        </is>
      </c>
      <c r="B3" s="18" t="inlineStr">
        <is>
          <t>dreamina-seedance-2-0-fast-260128</t>
        </is>
      </c>
      <c r="C3" s="19" t="n">
        <v>350.30872509</v>
      </c>
      <c r="D3" s="18" t="inlineStr">
        <is>
          <t>Seedance Global</t>
        </is>
      </c>
      <c r="E3" s="18" t="inlineStr">
        <is>
          <t>bytedance</t>
        </is>
      </c>
      <c r="F3" s="18" t="inlineStr">
        <is>
          <t>shilinrui@rayvision.com</t>
        </is>
      </c>
    </row>
    <row r="4">
      <c r="A4" s="18" t="inlineStr">
        <is>
          <t>2026-09-08</t>
        </is>
      </c>
      <c r="B4" s="18" t="inlineStr">
        <is>
          <t>dreamina-seedance-2-0-mini-260615</t>
        </is>
      </c>
      <c r="C4" s="19" t="n">
        <v>66.98807956</v>
      </c>
      <c r="D4" s="18" t="inlineStr">
        <is>
          <t>Seedance Global</t>
        </is>
      </c>
      <c r="E4" s="18" t="inlineStr">
        <is>
          <t>bytedance</t>
        </is>
      </c>
      <c r="F4" s="18" t="inlineStr">
        <is>
          <t>shilinrui@rayvision.com</t>
        </is>
      </c>
    </row>
    <row r="5">
      <c r="A5" s="18" t="inlineStr">
        <is>
          <t>2026-09-08</t>
        </is>
      </c>
      <c r="B5" s="18" t="inlineStr">
        <is>
          <t>dreamina-seedance-2-5-260628</t>
        </is>
      </c>
      <c r="C5" s="19" t="n">
        <v>17741.36848386</v>
      </c>
      <c r="D5" s="18" t="inlineStr">
        <is>
          <t>Seedance Global</t>
        </is>
      </c>
      <c r="E5" s="18" t="inlineStr">
        <is>
          <t>bytedance</t>
        </is>
      </c>
      <c r="F5" s="18" t="inlineStr">
        <is>
          <t>shilinrui@rayvision.com</t>
        </is>
      </c>
    </row>
    <row r="6">
      <c r="A6" s="18" t="inlineStr">
        <is>
          <t>2026-09-09</t>
        </is>
      </c>
      <c r="B6" s="18" t="inlineStr">
        <is>
          <t>dreamina-seedance-2-0-260128</t>
        </is>
      </c>
      <c r="C6" s="19" t="n">
        <v>3147.95274849</v>
      </c>
      <c r="D6" s="18" t="inlineStr">
        <is>
          <t>Seedance Global</t>
        </is>
      </c>
      <c r="E6" s="18" t="inlineStr">
        <is>
          <t>bytedance</t>
        </is>
      </c>
      <c r="F6" s="18" t="inlineStr">
        <is>
          <t>shilinrui@rayvision.com</t>
        </is>
      </c>
    </row>
    <row r="7">
      <c r="A7" s="18" t="inlineStr">
        <is>
          <t>2026-09-09</t>
        </is>
      </c>
      <c r="B7" s="18" t="inlineStr">
        <is>
          <t>dreamina-seedance-2-0-fast-260128</t>
        </is>
      </c>
      <c r="C7" s="19" t="n">
        <v>366.6021954</v>
      </c>
      <c r="D7" s="18" t="inlineStr">
        <is>
          <t>Seedance Global</t>
        </is>
      </c>
      <c r="E7" s="18" t="inlineStr">
        <is>
          <t>bytedance</t>
        </is>
      </c>
      <c r="F7" s="18" t="inlineStr">
        <is>
          <t>shilinrui@rayvision.com</t>
        </is>
      </c>
    </row>
    <row r="8">
      <c r="A8" s="18" t="inlineStr">
        <is>
          <t>2026-09-09</t>
        </is>
      </c>
      <c r="B8" s="18" t="inlineStr">
        <is>
          <t>dreamina-seedance-2-0-mini-260615</t>
        </is>
      </c>
      <c r="C8" s="19" t="n">
        <v>29.00595547</v>
      </c>
      <c r="D8" s="18" t="inlineStr">
        <is>
          <t>Seedance Global</t>
        </is>
      </c>
      <c r="E8" s="18" t="inlineStr">
        <is>
          <t>bytedance</t>
        </is>
      </c>
      <c r="F8" s="18" t="inlineStr">
        <is>
          <t>shilinrui@rayvision.com</t>
        </is>
      </c>
    </row>
    <row r="9">
      <c r="A9" s="18" t="inlineStr">
        <is>
          <t>2026-09-09</t>
        </is>
      </c>
      <c r="B9" s="18" t="inlineStr">
        <is>
          <t>dreamina-seedance-2-5-260628</t>
        </is>
      </c>
      <c r="C9" s="19" t="n">
        <v>10100.58307389</v>
      </c>
      <c r="D9" s="18" t="inlineStr">
        <is>
          <t>Seedance Global</t>
        </is>
      </c>
      <c r="E9" s="18" t="inlineStr">
        <is>
          <t>bytedance</t>
        </is>
      </c>
      <c r="F9" s="18" t="inlineStr">
        <is>
          <t>shilinrui@rayvision.com</t>
        </is>
      </c>
    </row>
    <row r="10">
      <c r="A10" s="18" t="inlineStr">
        <is>
          <t>2026-09-10</t>
        </is>
      </c>
      <c r="B10" s="18" t="inlineStr">
        <is>
          <t>dreamina-seedance-2-0-260128</t>
        </is>
      </c>
      <c r="C10" s="19" t="n">
        <v>1807.87679031</v>
      </c>
      <c r="D10" s="18" t="inlineStr">
        <is>
          <t>Seedance Global</t>
        </is>
      </c>
      <c r="E10" s="18" t="inlineStr">
        <is>
          <t>bytedance</t>
        </is>
      </c>
      <c r="F10" s="18" t="inlineStr">
        <is>
          <t>shilinrui@rayvision.com</t>
        </is>
      </c>
    </row>
    <row r="11">
      <c r="A11" s="18" t="inlineStr">
        <is>
          <t>2026-09-10</t>
        </is>
      </c>
      <c r="B11" s="18" t="inlineStr">
        <is>
          <t>dreamina-seedance-2-0-fast-260128</t>
        </is>
      </c>
      <c r="C11" s="19" t="n">
        <v>226.72281799</v>
      </c>
      <c r="D11" s="18" t="inlineStr">
        <is>
          <t>Seedance Global</t>
        </is>
      </c>
      <c r="E11" s="18" t="inlineStr">
        <is>
          <t>bytedance</t>
        </is>
      </c>
      <c r="F11" s="18" t="inlineStr">
        <is>
          <t>shilinrui@rayvision.com</t>
        </is>
      </c>
    </row>
    <row r="12">
      <c r="A12" s="18" t="inlineStr">
        <is>
          <t>2026-09-10</t>
        </is>
      </c>
      <c r="B12" s="18" t="inlineStr">
        <is>
          <t>dreamina-seedance-2-0-mini-260615</t>
        </is>
      </c>
      <c r="C12" s="19" t="n">
        <v>16.58317834</v>
      </c>
      <c r="D12" s="18" t="inlineStr">
        <is>
          <t>Seedance Global</t>
        </is>
      </c>
      <c r="E12" s="18" t="inlineStr">
        <is>
          <t>bytedance</t>
        </is>
      </c>
      <c r="F12" s="18" t="inlineStr">
        <is>
          <t>shilinrui@rayvision.com</t>
        </is>
      </c>
    </row>
    <row r="13">
      <c r="A13" s="18" t="inlineStr">
        <is>
          <t>2026-09-10</t>
        </is>
      </c>
      <c r="B13" s="18" t="inlineStr">
        <is>
          <t>dreamina-seedance-2-5-260628</t>
        </is>
      </c>
      <c r="C13" s="19" t="n">
        <v>4548.13616863</v>
      </c>
      <c r="D13" s="18" t="inlineStr">
        <is>
          <t>Seedance Global</t>
        </is>
      </c>
      <c r="E13" s="18" t="inlineStr">
        <is>
          <t>bytedance</t>
        </is>
      </c>
      <c r="F13" s="18" t="inlineStr">
        <is>
          <t>shilinrui@rayvision.com</t>
        </is>
      </c>
    </row>
    <row r="14">
      <c r="A14" s="18" t="inlineStr">
        <is>
          <t>2026-09-11</t>
        </is>
      </c>
      <c r="B14" s="18" t="inlineStr">
        <is>
          <t>dreamina-seedance-2-0-260128</t>
        </is>
      </c>
      <c r="C14" s="19" t="n">
        <v>13215.17654821</v>
      </c>
      <c r="D14" s="18" t="inlineStr">
        <is>
          <t>Seedance Global</t>
        </is>
      </c>
      <c r="E14" s="18" t="inlineStr">
        <is>
          <t>bytedance</t>
        </is>
      </c>
      <c r="F14" s="18" t="inlineStr">
        <is>
          <t>shilinrui@rayvision.com</t>
        </is>
      </c>
    </row>
    <row r="15">
      <c r="A15" s="18" t="inlineStr">
        <is>
          <t>2026-09-11</t>
        </is>
      </c>
      <c r="B15" s="18" t="inlineStr">
        <is>
          <t>dreamina-seedance-2-0-fast-260128</t>
        </is>
      </c>
      <c r="C15" s="19" t="n">
        <v>1096.02638976</v>
      </c>
      <c r="D15" s="18" t="inlineStr">
        <is>
          <t>Seedance Global</t>
        </is>
      </c>
      <c r="E15" s="18" t="inlineStr">
        <is>
          <t>bytedance</t>
        </is>
      </c>
      <c r="F15" s="18" t="inlineStr">
        <is>
          <t>shilinrui@rayvision.com</t>
        </is>
      </c>
    </row>
    <row r="16">
      <c r="A16" s="18" t="inlineStr">
        <is>
          <t>2026-09-11</t>
        </is>
      </c>
      <c r="B16" s="18" t="inlineStr">
        <is>
          <t>dreamina-seedance-2-0-mini-260615</t>
        </is>
      </c>
      <c r="C16" s="19" t="n">
        <v>249.80795765</v>
      </c>
      <c r="D16" s="18" t="inlineStr">
        <is>
          <t>Seedance Global</t>
        </is>
      </c>
      <c r="E16" s="18" t="inlineStr">
        <is>
          <t>bytedance</t>
        </is>
      </c>
      <c r="F16" s="18" t="inlineStr">
        <is>
          <t>shilinrui@rayvision.com</t>
        </is>
      </c>
    </row>
    <row r="17">
      <c r="A17" s="18" t="inlineStr">
        <is>
          <t>2026-09-11</t>
        </is>
      </c>
      <c r="B17" s="18" t="inlineStr">
        <is>
          <t>dreamina-seedance-2-5-260628</t>
        </is>
      </c>
      <c r="C17" s="19" t="n">
        <v>45249.07982037</v>
      </c>
      <c r="D17" s="18" t="inlineStr">
        <is>
          <t>Seedance Global</t>
        </is>
      </c>
      <c r="E17" s="18" t="inlineStr">
        <is>
          <t>bytedance</t>
        </is>
      </c>
      <c r="F17" s="18" t="inlineStr">
        <is>
          <t>shilinrui@rayvision.com</t>
        </is>
      </c>
    </row>
    <row r="18">
      <c r="A18" s="18" t="inlineStr">
        <is>
          <t>2026-09-12</t>
        </is>
      </c>
      <c r="B18" s="18" t="inlineStr">
        <is>
          <t>dreamina-seedance-2-0-260128</t>
        </is>
      </c>
      <c r="C18" s="19" t="n">
        <v>10.52888616</v>
      </c>
      <c r="D18" s="18" t="inlineStr">
        <is>
          <t>Seedance Global</t>
        </is>
      </c>
      <c r="E18" s="18" t="inlineStr">
        <is>
          <t>bytedance</t>
        </is>
      </c>
      <c r="F18" s="18" t="inlineStr">
        <is>
          <t>shilinrui@rayvision.com</t>
        </is>
      </c>
    </row>
    <row r="19">
      <c r="A19" s="18" t="inlineStr">
        <is>
          <t>2026-09-12</t>
        </is>
      </c>
      <c r="B19" s="18" t="inlineStr">
        <is>
          <t>dreamina-seedance-2-0-fast-260128</t>
        </is>
      </c>
      <c r="C19" s="19" t="n">
        <v>0.3293136</v>
      </c>
      <c r="D19" s="18" t="inlineStr">
        <is>
          <t>Seedance Global</t>
        </is>
      </c>
      <c r="E19" s="18" t="inlineStr">
        <is>
          <t>bytedance</t>
        </is>
      </c>
      <c r="F19" s="18" t="inlineStr">
        <is>
          <t>shilinrui@rayvision.com</t>
        </is>
      </c>
    </row>
    <row r="20">
      <c r="A20" s="18" t="inlineStr">
        <is>
          <t>2026-09-12</t>
        </is>
      </c>
      <c r="B20" s="18" t="inlineStr">
        <is>
          <t>dreamina-seedance-2-0-mini-260615</t>
        </is>
      </c>
      <c r="C20" s="19" t="n">
        <v>0.1097712</v>
      </c>
      <c r="D20" s="18" t="inlineStr">
        <is>
          <t>Seedance Global</t>
        </is>
      </c>
      <c r="E20" s="18" t="inlineStr">
        <is>
          <t>bytedance</t>
        </is>
      </c>
      <c r="F20" s="18" t="inlineStr">
        <is>
          <t>shilinrui@rayvision.com</t>
        </is>
      </c>
    </row>
    <row r="21">
      <c r="A21" s="18" t="inlineStr">
        <is>
          <t>2026-09-12</t>
        </is>
      </c>
      <c r="B21" s="18" t="inlineStr">
        <is>
          <t>dreamina-seedance-2-5-260628</t>
        </is>
      </c>
      <c r="C21" s="19" t="n">
        <v>52.42136166</v>
      </c>
      <c r="D21" s="18" t="inlineStr">
        <is>
          <t>Seedance Global</t>
        </is>
      </c>
      <c r="E21" s="18" t="inlineStr">
        <is>
          <t>bytedance</t>
        </is>
      </c>
      <c r="F21" s="18" t="inlineStr">
        <is>
          <t>shilinrui@rayvision.com</t>
        </is>
      </c>
    </row>
    <row r="22">
      <c r="A22" s="17" t="inlineStr">
        <is>
          <t>合计</t>
        </is>
      </c>
      <c r="C22" s="22">
        <f>SUM(C2:C21)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0" customWidth="1" min="4" max="4"/>
    <col width="11" customWidth="1" min="5" max="5"/>
    <col width="48" customWidth="1" min="6" max="6"/>
  </cols>
  <sheetData>
    <row r="1">
      <c r="A1" s="2" t="inlineStr">
        <is>
          <t>优先级</t>
        </is>
      </c>
      <c r="B1" s="2" t="inlineStr">
        <is>
          <t>账号</t>
        </is>
      </c>
      <c r="C1" s="2" t="inlineStr">
        <is>
          <t>账号ID</t>
        </is>
      </c>
      <c r="D1" s="2" t="inlineStr">
        <is>
          <t>缺日期</t>
        </is>
      </c>
      <c r="E1" s="2" t="inlineStr">
        <is>
          <t>预估缺口(USD)</t>
        </is>
      </c>
      <c r="F1" s="2" t="inlineStr">
        <is>
          <t>依据</t>
        </is>
      </c>
    </row>
    <row r="2">
      <c r="A2" s="9" t="inlineStr">
        <is>
          <t>P0</t>
        </is>
      </c>
      <c r="B2" s="9" t="inlineStr">
        <is>
          <t>B</t>
        </is>
      </c>
      <c r="C2" s="9" t="inlineStr">
        <is>
          <t>3003308319</t>
        </is>
      </c>
      <c r="D2" s="9" t="inlineStr">
        <is>
          <t>2026-09-11</t>
        </is>
      </c>
      <c r="E2" s="10" t="n">
        <v>52333.88</v>
      </c>
      <c r="F2" s="9" t="inlineStr">
        <is>
          <t>平台$59810 − 仅有A$7476；差额主体</t>
        </is>
      </c>
    </row>
    <row r="3">
      <c r="A3" s="18" t="inlineStr">
        <is>
          <t>P1</t>
        </is>
      </c>
      <c r="B3" s="18" t="inlineStr">
        <is>
          <t>A 和/或 B</t>
        </is>
      </c>
      <c r="C3" s="18" t="inlineStr">
        <is>
          <t>—</t>
        </is>
      </c>
      <c r="D3" s="18" t="inlineStr">
        <is>
          <t>2026-09-12</t>
        </is>
      </c>
      <c r="E3" s="19" t="n">
        <v>63.39</v>
      </c>
      <c r="F3" s="18" t="inlineStr">
        <is>
          <t>平台有量，上游无账单</t>
        </is>
      </c>
    </row>
    <row r="4">
      <c r="A4" s="18" t="inlineStr">
        <is>
          <t>可选</t>
        </is>
      </c>
      <c r="B4" s="18" t="inlineStr">
        <is>
          <t>B</t>
        </is>
      </c>
      <c r="C4" s="18" t="inlineStr">
        <is>
          <t>3003308319</t>
        </is>
      </c>
      <c r="D4" s="18" t="inlineStr">
        <is>
          <t>2026-09-07 / 09-08</t>
        </is>
      </c>
      <c r="E4" s="19" t="n">
        <v>0</v>
      </c>
      <c r="F4" s="18" t="inlineStr">
        <is>
          <t>09-08 用 A 已对平，B 当天多半未跑</t>
        </is>
      </c>
    </row>
    <row r="5">
      <c r="A5" s="18" t="inlineStr">
        <is>
          <t>排查</t>
        </is>
      </c>
      <c r="B5" s="18" t="inlineStr">
        <is>
          <t>是否第3账号</t>
        </is>
      </c>
      <c r="C5" s="18" t="inlineStr">
        <is>
          <t>—</t>
        </is>
      </c>
      <c r="D5" s="18" t="inlineStr">
        <is>
          <t>2026-09-11 起</t>
        </is>
      </c>
      <c r="E5" s="18" t="n"/>
      <c r="F5" s="18" t="inlineStr">
        <is>
          <t>若封号后又换新资源，补 B 后仍可能对不齐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2026-09-16T11:18:16Z</dcterms:created>
  <dcterms:modified xmlns:dcterms="http://purl.org/dc/terms/" xmlns:xsi="http://www.w3.org/2001/XMLSchema-instance" xsi:type="dcterms:W3CDTF">2026-09-16T11:18:16Z</dcterms:modified>
</cp:coreProperties>
</file>