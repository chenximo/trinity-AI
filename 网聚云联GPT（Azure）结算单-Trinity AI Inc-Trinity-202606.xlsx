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账单\网聚\1网聚云联账单\2026\202606\7-AI\吴春燕\Trinity AI Inc\新建文件夹\"/>
    </mc:Choice>
  </mc:AlternateContent>
  <bookViews>
    <workbookView xWindow="0" yWindow="0" windowWidth="18353" windowHeight="7635" tabRatio="500"/>
  </bookViews>
  <sheets>
    <sheet name="付款通知书" sheetId="1" r:id="rId1"/>
    <sheet name="详细账单" sheetId="2" r:id="rId2"/>
    <sheet name="Sheet1" sheetId="3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2" i="3"/>
  <c r="C3" i="3" l="1"/>
  <c r="C6" i="3" s="1"/>
  <c r="B6" i="3"/>
  <c r="D9" i="1"/>
  <c r="E7" i="1"/>
  <c r="E6" i="1"/>
  <c r="D6" i="1"/>
  <c r="C9" i="1" l="1"/>
  <c r="E9" i="1" s="1"/>
  <c r="D6" i="3"/>
</calcChain>
</file>

<file path=xl/sharedStrings.xml><?xml version="1.0" encoding="utf-8"?>
<sst xmlns="http://schemas.openxmlformats.org/spreadsheetml/2006/main" count="1803" uniqueCount="209">
  <si>
    <t>付款通知书</t>
  </si>
  <si>
    <r>
      <rPr>
        <sz val="12"/>
        <color rgb="FF000000"/>
        <rFont val="DengXian"/>
        <charset val="134"/>
      </rPr>
      <t>尊敬的：</t>
    </r>
    <r>
      <rPr>
        <b/>
        <sz val="12"/>
        <color rgb="FFFF0000"/>
        <rFont val="DengXian"/>
        <charset val="134"/>
      </rPr>
      <t>Trinity AI Inc</t>
    </r>
  </si>
  <si>
    <t xml:space="preserve">    感谢贵司对我司的信任和支持，贵司在以下服务周期的相关服务账单明细如下:</t>
  </si>
  <si>
    <t>服务时间区间</t>
  </si>
  <si>
    <t>服务类型/项目类别</t>
  </si>
  <si>
    <t>原价
(美元/计费单位)</t>
  </si>
  <si>
    <t>费用小计
（美元/计费单位）</t>
  </si>
  <si>
    <t>备注</t>
  </si>
  <si>
    <t>2026.06.01-2026.06.30</t>
  </si>
  <si>
    <t>GPT（Azure）</t>
  </si>
  <si>
    <t xml:space="preserve"> 合计（美元）</t>
  </si>
  <si>
    <t>已付款金额（美元）</t>
  </si>
  <si>
    <t>已消费金额（美元）</t>
  </si>
  <si>
    <t xml:space="preserve">    根据贵司与我公司签订的合同中关于付费的规定，请核实以上款项，并于5日内确认并书面回复，若逾期未见回复，则视为贵司对本付款通知书内容无异议(对账单有任何疑问，可直接与客户经理联系)。
    在完成前述确认工作后，我司将及时开具相应发票，请贵司在收到发票后尽快安排付款。祝商祺！</t>
  </si>
  <si>
    <t>付款和联系方式</t>
  </si>
  <si>
    <t>开户银行：</t>
  </si>
  <si>
    <t>OCBC WING HANG BANK LIMITED</t>
  </si>
  <si>
    <t>银行代码：</t>
  </si>
  <si>
    <t>035</t>
  </si>
  <si>
    <t xml:space="preserve">帐户名:    </t>
  </si>
  <si>
    <t>NETCENTER CLOUDLINK LIMITED</t>
  </si>
  <si>
    <t>银行帐号：</t>
  </si>
  <si>
    <t>035802555143831</t>
  </si>
  <si>
    <t xml:space="preserve">客户经理：      </t>
  </si>
  <si>
    <t>吴春燕</t>
  </si>
  <si>
    <t>联系电话：</t>
  </si>
  <si>
    <t>邮箱：</t>
  </si>
  <si>
    <t>wucy@wangjuyunlian.com</t>
  </si>
  <si>
    <t>invoiceSectionName</t>
  </si>
  <si>
    <t>partnerName</t>
  </si>
  <si>
    <t>resellerName</t>
  </si>
  <si>
    <t>resellerMpnId</t>
  </si>
  <si>
    <t>customerTenantId</t>
  </si>
  <si>
    <t>customerName</t>
  </si>
  <si>
    <t>costCenter</t>
  </si>
  <si>
    <t>billingPeriodEndDate</t>
  </si>
  <si>
    <t>billingPeriodStartDate</t>
  </si>
  <si>
    <t>servicePeriodEndDate</t>
  </si>
  <si>
    <t>servicePeriodStartDate</t>
  </si>
  <si>
    <t>date</t>
  </si>
  <si>
    <t>serviceFamily</t>
  </si>
  <si>
    <t>productOrderId</t>
  </si>
  <si>
    <t>productOrderName</t>
  </si>
  <si>
    <t>consumedService</t>
  </si>
  <si>
    <t>meterId</t>
  </si>
  <si>
    <t>meterName</t>
  </si>
  <si>
    <t>meterCategory</t>
  </si>
  <si>
    <t>meterSubCategory</t>
  </si>
  <si>
    <t>meterRegion</t>
  </si>
  <si>
    <t>ProductId</t>
  </si>
  <si>
    <t>product</t>
  </si>
  <si>
    <t>SubscriptionId</t>
  </si>
  <si>
    <t>subscriptionName</t>
  </si>
  <si>
    <t>publisherType</t>
  </si>
  <si>
    <t>publisherId</t>
  </si>
  <si>
    <t>publisherName</t>
  </si>
  <si>
    <t>resourceGroupName</t>
  </si>
  <si>
    <t>ResourceId</t>
  </si>
  <si>
    <t>resourceLocation</t>
  </si>
  <si>
    <t>location</t>
  </si>
  <si>
    <t>quantity</t>
  </si>
  <si>
    <t>unitOfMeasure</t>
  </si>
  <si>
    <t>chargeType</t>
  </si>
  <si>
    <t>billingCurrency</t>
  </si>
  <si>
    <t>pricingCurrency</t>
  </si>
  <si>
    <t>paygCostInBillingCurrency</t>
  </si>
  <si>
    <t>paygCostInUsd</t>
  </si>
  <si>
    <t>exchangeRatePricingToBilling</t>
  </si>
  <si>
    <t>exchangeRateDate</t>
  </si>
  <si>
    <t>serviceInfo1</t>
  </si>
  <si>
    <t>serviceInfo2</t>
  </si>
  <si>
    <t>additionalInfo</t>
  </si>
  <si>
    <t>tags</t>
  </si>
  <si>
    <t>PayGPrice</t>
  </si>
  <si>
    <t>frequency</t>
  </si>
  <si>
    <t>term</t>
  </si>
  <si>
    <t>reservationId</t>
  </si>
  <si>
    <t>reservationName</t>
  </si>
  <si>
    <t>pricingModel</t>
  </si>
  <si>
    <t>benefitId</t>
  </si>
  <si>
    <t>benefitName</t>
  </si>
  <si>
    <t>provider</t>
  </si>
  <si>
    <t>Kihon Cloud Tech Limited</t>
  </si>
  <si>
    <t>Edensoft International Limited.</t>
  </si>
  <si>
    <t>9171fd9d-34d1-4902-b95c-7ee677ef546d</t>
  </si>
  <si>
    <t>07/01/2026</t>
  </si>
  <si>
    <t>06/01/2026</t>
  </si>
  <si>
    <t>06/25/2026</t>
  </si>
  <si>
    <t>AI + Machine Learning</t>
  </si>
  <si>
    <t>bdd050c2-756f-4abd-c00f-d54917ec86d6</t>
  </si>
  <si>
    <t>Azure plan</t>
  </si>
  <si>
    <t>Microsoft.CognitiveServices</t>
  </si>
  <si>
    <t>c1a67ed6-4b03-5612-b23d-ceae8cc91046</t>
  </si>
  <si>
    <t>GPT 5 outpt Glbl 1M Tokens</t>
  </si>
  <si>
    <t>Foundry Models</t>
  </si>
  <si>
    <t>Azure OpenAI GPT5</t>
  </si>
  <si>
    <t>US East 2</t>
  </si>
  <si>
    <t>DZH318Z0T9WD01M5</t>
  </si>
  <si>
    <t>Azure OpenAI GPT5 - GPT 5 outpt Glbl - US East 2</t>
  </si>
  <si>
    <t>e206c4f7-1b55-4863-951c-be8f67b5435f</t>
  </si>
  <si>
    <t>Trinity</t>
  </si>
  <si>
    <t>Microsoft</t>
  </si>
  <si>
    <t>trinity-ai</t>
  </si>
  <si>
    <t>/subscriptions/e206c4f7-1b55-4863-951c-be8f67b5435f/resourceGroups/trinity-ai/providers/Microsoft.CognitiveServices/accounts/trinity-3693-resource</t>
  </si>
  <si>
    <t>eastus2</t>
  </si>
  <si>
    <t>1M</t>
  </si>
  <si>
    <t>Usage</t>
  </si>
  <si>
    <t>USD</t>
  </si>
  <si>
    <t>{"deployment":"gpt-5","project":"trinity-3693"}</t>
  </si>
  <si>
    <t>UsageBased</t>
  </si>
  <si>
    <t>OnDemand</t>
  </si>
  <si>
    <t>Azure</t>
  </si>
  <si>
    <t>06/23/2026</t>
  </si>
  <si>
    <t>5df1b121-9609-57d5-9211-4ede8b30ad19</t>
  </si>
  <si>
    <t>5.4 inp Gl 1M Tokens</t>
  </si>
  <si>
    <t>DZH318Z0T9WD0HJS</t>
  </si>
  <si>
    <t>Azure OpenAI GPT5 - 5.4 inp Gl - US East 2</t>
  </si>
  <si>
    <t>{"deployment":"gpt-5.4","project":"trinity-3693"}</t>
  </si>
  <si>
    <t>e44b94b3-934f-5f67-bf3a-c9a64d3a83d5</t>
  </si>
  <si>
    <t>gpt 4o 1120 Inp glbl Tokens</t>
  </si>
  <si>
    <t>Azure OpenAI</t>
  </si>
  <si>
    <t>DZH318Z0HHG71HDF</t>
  </si>
  <si>
    <t>Azure OpenAI - gpt 4o 1120 Inp glbl - US East 2</t>
  </si>
  <si>
    <t>1K</t>
  </si>
  <si>
    <t>{"deployment":"gpt-4o","project":"trinity-3693"}</t>
  </si>
  <si>
    <t>06/24/2026</t>
  </si>
  <si>
    <t>41bf7d2a-41b0-5d95-a8eb-ab269852b32b</t>
  </si>
  <si>
    <t>5.4 opt Gl 1M Tokens</t>
  </si>
  <si>
    <t>DZH318Z0T9WD0HKB</t>
  </si>
  <si>
    <t>Azure OpenAI GPT5 - 5.4 opt Gl - US East 2</t>
  </si>
  <si>
    <t>06/26/2026</t>
  </si>
  <si>
    <t>e7a655a7-30f1-5aa7-a06c-2f525ee584aa</t>
  </si>
  <si>
    <t>GPT 5 Nano outpt Glbl 1M Tokens</t>
  </si>
  <si>
    <t>DZH318Z0T9WD01N7</t>
  </si>
  <si>
    <t>Azure OpenAI GPT5 - GPT 5 Nano outpt Glbl - US East 2</t>
  </si>
  <si>
    <t>{"deployment":"gpt-5-nano","project":"trinity-3693"}</t>
  </si>
  <si>
    <t>06/27/2026</t>
  </si>
  <si>
    <t>5d711bbe-b247-5277-891f-a99e24468d2d</t>
  </si>
  <si>
    <t>5.4 mini Opt Gl 1M Tokens</t>
  </si>
  <si>
    <t>DZH318Z0T9WD0LNH</t>
  </si>
  <si>
    <t>Azure OpenAI GPT5 - 5.4 mini Opt Gl - US East 2</t>
  </si>
  <si>
    <t>{"deployment":"gpt-5.4-mini","project":"trinity-3693"}</t>
  </si>
  <si>
    <t>fa5f9dcf-3bf0-50ea-8c22-7daa13474f66</t>
  </si>
  <si>
    <t>5.4 mini Inp Gl 1M Tokens</t>
  </si>
  <si>
    <t>DZH318Z0T9WD0LP6</t>
  </si>
  <si>
    <t>Azure OpenAI GPT5 - 5.4 mini Inp Gl - US East 2</t>
  </si>
  <si>
    <t>bb3530f3-00a2-5a99-ac10-5f0a15ce6705</t>
  </si>
  <si>
    <t>GPT 5 Nano Inpt Glbl 1M Tokens</t>
  </si>
  <si>
    <t>DZH318Z0T9WD01N9</t>
  </si>
  <si>
    <t>Azure OpenAI GPT5 - GPT 5 Nano Inpt Glbl - US East 2</t>
  </si>
  <si>
    <t>39ae1495-1ea6-51c4-b153-3b303891275b</t>
  </si>
  <si>
    <t>gpt 4o 1120 Outp glbl Tokens</t>
  </si>
  <si>
    <t>DZH318Z0HHG71HDC</t>
  </si>
  <si>
    <t>Azure OpenAI - gpt 4o 1120 Outp glbl - US East 2</t>
  </si>
  <si>
    <t>77a42d90-dbe2-5e8c-b378-bbcc7d890ed8</t>
  </si>
  <si>
    <t>GPT 5.2 opt Gl 1M Tokens</t>
  </si>
  <si>
    <t>DZH318Z0T9WD08G1</t>
  </si>
  <si>
    <t>Azure OpenAI GPT5 - GPT 5.2 opt Gl - US East 2</t>
  </si>
  <si>
    <t>{"deployment":"gpt-5.2","project":"trinity-3693"}</t>
  </si>
  <si>
    <t>9ee6da2e-c336-5ffb-b970-6c4eb086d0bb</t>
  </si>
  <si>
    <t>gpt 4.1 Outp glbl Tokens</t>
  </si>
  <si>
    <t>DZH318Z0HHG71J8M</t>
  </si>
  <si>
    <t>Azure OpenAI - gpt 4.1 Outp glbl - US East 2</t>
  </si>
  <si>
    <t>{"deployment":"gpt-4.1","project":"trinity-3693"}</t>
  </si>
  <si>
    <t>cc9c4fba-decd-5312-86f6-80568aae55d4</t>
  </si>
  <si>
    <t>5.4 cd inp Gl 1M Tokens</t>
  </si>
  <si>
    <t>DZH318Z0T9WD0HL1</t>
  </si>
  <si>
    <t>Azure OpenAI GPT5 - 5.4 cd inp Gl - US East 2</t>
  </si>
  <si>
    <t>b965b52f-6049-5ec7-9279-fece5c656647</t>
  </si>
  <si>
    <t>5.4 mini cd Inp Gl 1M Tokens</t>
  </si>
  <si>
    <t>DZH318Z0T9WD0LMR</t>
  </si>
  <si>
    <t>Azure OpenAI GPT5 - 5.4 mini cd Inp Gl - US East 2</t>
  </si>
  <si>
    <t>51939794-a203-55a3-9b6e-98876279ec33</t>
  </si>
  <si>
    <t>GPT 5.2 inp Gl 1M Tokens</t>
  </si>
  <si>
    <t>DZH318Z0T9WD08FZ</t>
  </si>
  <si>
    <t>Azure OpenAI GPT5 - GPT 5.2 inp Gl - US East 2</t>
  </si>
  <si>
    <t>5d73b08e-8cfd-51c4-bfb1-aaa5a2c47a2b</t>
  </si>
  <si>
    <t>gpt 4.1 Inp glbl Tokens</t>
  </si>
  <si>
    <t>DZH318Z0HHG71J8N</t>
  </si>
  <si>
    <t>Azure OpenAI - gpt 4.1 Inp glbl - US East 2</t>
  </si>
  <si>
    <t>06/29/2026</t>
  </si>
  <si>
    <t>Other</t>
  </si>
  <si>
    <t>a831dc6d-1dce-5ad6-8130-c330fe9ab175</t>
  </si>
  <si>
    <t>Search Transactions</t>
  </si>
  <si>
    <t>MS Bing Services</t>
  </si>
  <si>
    <t>Grounding with Bing</t>
  </si>
  <si>
    <t>Global</t>
  </si>
  <si>
    <t>DZH318Z0MT3S0001</t>
  </si>
  <si>
    <t>Grounding with Bing - Search</t>
  </si>
  <si>
    <t>global</t>
  </si>
  <si>
    <t>6b05a5ff-3810-5cd6-8f4d-b2bcadf5fc44</t>
  </si>
  <si>
    <t>5.4 longco inp Gl 1M Tokens</t>
  </si>
  <si>
    <t>DZH318Z0T9WD0K6N</t>
  </si>
  <si>
    <t>Azure OpenAI GPT5 - 5.4 longco inp Gl - US East 2</t>
  </si>
  <si>
    <t>883bef95-7dc1-5e9d-87b9-9a4caca489da</t>
  </si>
  <si>
    <t>5.4 longco opt Gl 1M Tokens</t>
  </si>
  <si>
    <t>DZH318Z0T9WD0K73</t>
  </si>
  <si>
    <t>Azure OpenAI GPT5 - 5.4 longco opt Gl - US East 2</t>
  </si>
  <si>
    <t>2b5dfbb1-3022-533b-af98-bbd05f2e86a2</t>
  </si>
  <si>
    <t>GPT 5 Inpt Glbl 1M Tokens</t>
  </si>
  <si>
    <t>DZH318Z0T9WD01M6</t>
  </si>
  <si>
    <t>Azure OpenAI GPT5 - GPT 5 Inpt Glbl - US East 2</t>
  </si>
  <si>
    <t>06/30/2026</t>
  </si>
  <si>
    <t>合计</t>
  </si>
  <si>
    <t>日期</t>
  </si>
  <si>
    <t>账单金额</t>
  </si>
  <si>
    <t>回款金额</t>
  </si>
  <si>
    <t>剩余金额</t>
  </si>
  <si>
    <t>剩余金额（美元）
（回款截止7.24）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</si>
</sst>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26" formatCode="\$#,##0.00_);[Red]\(\$#,##0.00\)"/>
    <numFmt numFmtId="176" formatCode="yyyy/m"/>
    <numFmt numFmtId="177" formatCode="0.00_ "/>
    <numFmt numFmtId="178" formatCode="0.00_);\(0.00\)"/>
    <numFmt numFmtId="179" formatCode="\$#,##0.00;\-\$#,##0.00"/>
    <numFmt numFmtId="180" formatCode="0_ "/>
  </numFmts>
  <fonts count="24">
    <font>
      <sz val="12"/>
      <color theme="1"/>
      <name val="DengXian"/>
      <charset val="134"/>
      <scheme val="minor"/>
    </font>
    <font>
      <sz val="12"/>
      <name val="DengXian"/>
      <charset val="134"/>
      <scheme val="minor"/>
    </font>
    <font>
      <sz val="9"/>
      <color theme="1"/>
      <name val="DengXian"/>
      <charset val="134"/>
      <scheme val="minor"/>
    </font>
    <font>
      <b/>
      <sz val="18"/>
      <color indexed="8"/>
      <name val="宋体"/>
      <family val="3"/>
      <charset val="134"/>
    </font>
    <font>
      <b/>
      <sz val="12"/>
      <color indexed="8"/>
      <name val="DengXian"/>
      <charset val="134"/>
    </font>
    <font>
      <sz val="12"/>
      <color indexed="8"/>
      <name val="宋体"/>
      <family val="3"/>
      <charset val="134"/>
    </font>
    <font>
      <sz val="10"/>
      <color indexed="8"/>
      <name val="宋体"/>
      <family val="3"/>
      <charset val="134"/>
    </font>
    <font>
      <sz val="10"/>
      <name val="宋体"/>
      <family val="3"/>
      <charset val="134"/>
    </font>
    <font>
      <b/>
      <sz val="16"/>
      <color indexed="8"/>
      <name val="宋体"/>
      <family val="3"/>
      <charset val="134"/>
    </font>
    <font>
      <b/>
      <sz val="14"/>
      <color indexed="8"/>
      <name val="宋体"/>
      <family val="3"/>
      <charset val="134"/>
    </font>
    <font>
      <sz val="10"/>
      <color indexed="8"/>
      <name val="宋体"/>
      <family val="3"/>
      <charset val="134"/>
    </font>
    <font>
      <b/>
      <sz val="16"/>
      <color indexed="8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.5"/>
      <color rgb="FF000000"/>
      <name val="宋体"/>
      <family val="3"/>
      <charset val="134"/>
    </font>
    <font>
      <u/>
      <sz val="12"/>
      <color theme="10"/>
      <name val="DengXian"/>
      <charset val="134"/>
      <scheme val="minor"/>
    </font>
    <font>
      <sz val="11"/>
      <color theme="1"/>
      <name val="DengXian"/>
      <charset val="134"/>
      <scheme val="minor"/>
    </font>
    <font>
      <sz val="11"/>
      <color indexed="8"/>
      <name val="等线"/>
      <family val="3"/>
      <charset val="134"/>
    </font>
    <font>
      <sz val="12"/>
      <name val="宋体"/>
      <family val="3"/>
      <charset val="134"/>
    </font>
    <font>
      <sz val="10"/>
      <name val="Arial"/>
      <family val="2"/>
    </font>
    <font>
      <sz val="12"/>
      <name val="Times New Roman"/>
      <family val="1"/>
    </font>
    <font>
      <sz val="12"/>
      <color rgb="FF000000"/>
      <name val="DengXian"/>
      <charset val="134"/>
    </font>
    <font>
      <b/>
      <sz val="12"/>
      <color rgb="FFFF0000"/>
      <name val="DengXian"/>
      <charset val="134"/>
    </font>
    <font>
      <sz val="9"/>
      <name val="DengXian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206518753624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4" tint="0.7998596148564104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5" fillId="0" borderId="0"/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7" fillId="0" borderId="0"/>
    <xf numFmtId="0" fontId="16" fillId="0" borderId="0"/>
    <xf numFmtId="0" fontId="18" fillId="0" borderId="0">
      <alignment vertical="center"/>
    </xf>
    <xf numFmtId="0" fontId="19" fillId="0" borderId="0"/>
    <xf numFmtId="0" fontId="20" fillId="0" borderId="0"/>
  </cellStyleXfs>
  <cellXfs count="49">
    <xf numFmtId="0" fontId="0" fillId="0" borderId="0" xfId="0"/>
    <xf numFmtId="176" fontId="0" fillId="0" borderId="0" xfId="0" applyNumberFormat="1"/>
    <xf numFmtId="177" fontId="0" fillId="0" borderId="0" xfId="0" applyNumberFormat="1"/>
    <xf numFmtId="177" fontId="1" fillId="0" borderId="0" xfId="0" applyNumberFormat="1" applyFont="1"/>
    <xf numFmtId="0" fontId="0" fillId="0" borderId="0" xfId="0" applyAlignment="1">
      <alignment vertical="center"/>
    </xf>
    <xf numFmtId="0" fontId="2" fillId="0" borderId="0" xfId="0" applyFont="1"/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wrapText="1"/>
    </xf>
    <xf numFmtId="26" fontId="6" fillId="3" borderId="1" xfId="0" applyNumberFormat="1" applyFont="1" applyFill="1" applyBorder="1" applyAlignment="1">
      <alignment horizontal="center" vertical="center" wrapText="1"/>
    </xf>
    <xf numFmtId="26" fontId="6" fillId="3" borderId="1" xfId="0" applyNumberFormat="1" applyFont="1" applyFill="1" applyBorder="1" applyAlignment="1">
      <alignment horizontal="center" vertical="center"/>
    </xf>
    <xf numFmtId="178" fontId="7" fillId="3" borderId="1" xfId="0" applyNumberFormat="1" applyFont="1" applyFill="1" applyBorder="1" applyAlignment="1">
      <alignment horizontal="center" vertical="top" wrapText="1"/>
    </xf>
    <xf numFmtId="26" fontId="0" fillId="0" borderId="0" xfId="0" applyNumberFormat="1"/>
    <xf numFmtId="26" fontId="8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/>
    </xf>
    <xf numFmtId="0" fontId="9" fillId="3" borderId="10" xfId="0" applyFont="1" applyFill="1" applyBorder="1" applyAlignment="1"/>
    <xf numFmtId="0" fontId="9" fillId="3" borderId="7" xfId="0" applyFont="1" applyFill="1" applyBorder="1" applyAlignment="1"/>
    <xf numFmtId="0" fontId="10" fillId="3" borderId="1" xfId="0" applyFont="1" applyFill="1" applyBorder="1" applyAlignment="1">
      <alignment horizontal="center" vertical="center"/>
    </xf>
    <xf numFmtId="26" fontId="10" fillId="3" borderId="1" xfId="0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vertical="center"/>
    </xf>
    <xf numFmtId="179" fontId="10" fillId="3" borderId="1" xfId="0" applyNumberFormat="1" applyFont="1" applyFill="1" applyBorder="1" applyAlignment="1">
      <alignment horizontal="center" vertical="center"/>
    </xf>
    <xf numFmtId="179" fontId="10" fillId="3" borderId="1" xfId="0" applyNumberFormat="1" applyFont="1" applyFill="1" applyBorder="1" applyAlignment="1">
      <alignment horizontal="center" vertical="center" wrapText="1"/>
    </xf>
    <xf numFmtId="179" fontId="12" fillId="3" borderId="1" xfId="0" applyNumberFormat="1" applyFont="1" applyFill="1" applyBorder="1" applyAlignment="1">
      <alignment horizontal="center" vertical="center"/>
    </xf>
    <xf numFmtId="180" fontId="2" fillId="0" borderId="0" xfId="0" applyNumberFormat="1" applyFont="1"/>
    <xf numFmtId="0" fontId="14" fillId="6" borderId="1" xfId="0" applyFont="1" applyFill="1" applyBorder="1" applyAlignment="1">
      <alignment vertical="center" wrapText="1"/>
    </xf>
    <xf numFmtId="0" fontId="14" fillId="6" borderId="1" xfId="0" applyFont="1" applyFill="1" applyBorder="1" applyAlignment="1">
      <alignment horizontal="left" vertical="center" wrapText="1"/>
    </xf>
    <xf numFmtId="0" fontId="14" fillId="6" borderId="7" xfId="0" applyFont="1" applyFill="1" applyBorder="1" applyAlignment="1">
      <alignment horizontal="left" vertical="center" wrapText="1"/>
    </xf>
    <xf numFmtId="0" fontId="14" fillId="6" borderId="8" xfId="0" applyFont="1" applyFill="1" applyBorder="1" applyAlignment="1">
      <alignment horizontal="left" vertical="center" wrapText="1"/>
    </xf>
    <xf numFmtId="0" fontId="14" fillId="7" borderId="10" xfId="0" applyFont="1" applyFill="1" applyBorder="1" applyAlignment="1">
      <alignment vertical="center" wrapText="1"/>
    </xf>
    <xf numFmtId="0" fontId="14" fillId="7" borderId="10" xfId="0" applyFont="1" applyFill="1" applyBorder="1" applyAlignment="1">
      <alignment horizontal="left" vertical="center" wrapText="1"/>
    </xf>
    <xf numFmtId="0" fontId="14" fillId="7" borderId="1" xfId="0" applyFont="1" applyFill="1" applyBorder="1" applyAlignment="1">
      <alignment horizontal="left" vertical="center" wrapText="1"/>
    </xf>
    <xf numFmtId="0" fontId="15" fillId="7" borderId="1" xfId="1" applyFill="1" applyBorder="1" applyAlignment="1">
      <alignment horizontal="left" vertical="center" wrapText="1"/>
    </xf>
    <xf numFmtId="0" fontId="14" fillId="6" borderId="10" xfId="0" quotePrefix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5" fillId="0" borderId="1" xfId="0" applyFont="1" applyBorder="1" applyAlignment="1">
      <alignment horizontal="left" vertical="center" wrapText="1"/>
    </xf>
    <xf numFmtId="0" fontId="0" fillId="0" borderId="7" xfId="0" applyBorder="1"/>
    <xf numFmtId="0" fontId="0" fillId="0" borderId="8" xfId="0" applyBorder="1"/>
    <xf numFmtId="0" fontId="13" fillId="5" borderId="7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left" vertical="center" wrapText="1"/>
    </xf>
    <xf numFmtId="49" fontId="14" fillId="6" borderId="1" xfId="0" applyNumberFormat="1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</cellXfs>
  <cellStyles count="10">
    <cellStyle name="常规" xfId="0" builtinId="0"/>
    <cellStyle name="常规 2" xfId="2"/>
    <cellStyle name="常规 3" xfId="3"/>
    <cellStyle name="常规 3 2" xfId="4"/>
    <cellStyle name="常规 4" xfId="5"/>
    <cellStyle name="常规 5" xfId="6"/>
    <cellStyle name="常规 5 2" xfId="7"/>
    <cellStyle name="常规 6" xfId="8"/>
    <cellStyle name="超链接" xfId="1" builtinId="8"/>
    <cellStyle name="一般_出口Invoice" xfId="9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表1" displayName="表1" ref="A1:D6" totalsRowShown="0">
  <autoFilter ref="A1:D6"/>
  <tableColumns count="4">
    <tableColumn id="1" name="日期"/>
    <tableColumn id="2" name="账单金额"/>
    <tableColumn id="3" name="回款金额"/>
    <tableColumn id="4" name="剩余金额">
      <calculatedColumnFormula>表1[[#This Row],[回款金额]]-表1[[#This Row],[账单金额]]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wucy@wangjuyunlian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tabSelected="1" workbookViewId="0">
      <selection activeCell="C22" sqref="C22"/>
    </sheetView>
  </sheetViews>
  <sheetFormatPr defaultColWidth="9" defaultRowHeight="15.65"/>
  <cols>
    <col min="1" max="1" width="22.109375" customWidth="1"/>
    <col min="2" max="2" width="15.88671875" customWidth="1"/>
    <col min="3" max="3" width="17.21875" customWidth="1"/>
    <col min="4" max="4" width="16.77734375" customWidth="1"/>
    <col min="5" max="5" width="19.77734375" customWidth="1"/>
    <col min="6" max="6" width="29" customWidth="1"/>
    <col min="7" max="7" width="9" customWidth="1"/>
  </cols>
  <sheetData>
    <row r="1" spans="1:9" ht="21.9" customHeight="1">
      <c r="A1" s="33" t="s">
        <v>0</v>
      </c>
      <c r="B1" s="34"/>
      <c r="C1" s="34"/>
      <c r="D1" s="34"/>
      <c r="E1" s="34"/>
      <c r="F1" s="35"/>
    </row>
    <row r="2" spans="1:9" ht="21.9" customHeight="1">
      <c r="A2" s="36"/>
      <c r="B2" s="37"/>
      <c r="C2" s="37"/>
      <c r="D2" s="37"/>
      <c r="E2" s="37"/>
      <c r="F2" s="38"/>
    </row>
    <row r="3" spans="1:9" ht="30.1" customHeight="1">
      <c r="A3" s="45" t="s">
        <v>1</v>
      </c>
      <c r="B3" s="40"/>
      <c r="C3" s="40"/>
      <c r="D3" s="40"/>
      <c r="E3" s="40"/>
      <c r="F3" s="41"/>
    </row>
    <row r="4" spans="1:9" ht="23.1" customHeight="1">
      <c r="A4" s="39" t="s">
        <v>2</v>
      </c>
      <c r="B4" s="40"/>
      <c r="C4" s="40"/>
      <c r="D4" s="40"/>
      <c r="E4" s="40"/>
      <c r="F4" s="41"/>
    </row>
    <row r="5" spans="1:9" ht="34.15" customHeight="1">
      <c r="A5" s="6" t="s">
        <v>3</v>
      </c>
      <c r="B5" s="46" t="s">
        <v>4</v>
      </c>
      <c r="C5" s="41"/>
      <c r="D5" s="7" t="s">
        <v>5</v>
      </c>
      <c r="E5" s="7" t="s">
        <v>6</v>
      </c>
      <c r="F5" s="8" t="s">
        <v>7</v>
      </c>
    </row>
    <row r="6" spans="1:9" ht="31.75" customHeight="1">
      <c r="A6" s="7" t="s">
        <v>8</v>
      </c>
      <c r="B6" s="47" t="s">
        <v>9</v>
      </c>
      <c r="C6" s="41"/>
      <c r="D6" s="9">
        <f>LOOKUP(9^9,详细账单!AL:AL)</f>
        <v>129.31222199999999</v>
      </c>
      <c r="E6" s="10">
        <f>D6*0.65</f>
        <v>84.052944299999993</v>
      </c>
      <c r="F6" s="11"/>
      <c r="G6" s="2"/>
      <c r="H6" s="12"/>
      <c r="I6" s="12"/>
    </row>
    <row r="7" spans="1:9" ht="25.85" customHeight="1">
      <c r="A7" s="48" t="s">
        <v>10</v>
      </c>
      <c r="B7" s="40"/>
      <c r="C7" s="40"/>
      <c r="D7" s="41"/>
      <c r="E7" s="13">
        <f>SUM(E6:E6)</f>
        <v>84.052944299999993</v>
      </c>
      <c r="F7" s="14"/>
      <c r="I7" s="2"/>
    </row>
    <row r="8" spans="1:9" ht="31.75" customHeight="1">
      <c r="A8" s="15"/>
      <c r="B8" s="16"/>
      <c r="C8" s="17" t="s">
        <v>11</v>
      </c>
      <c r="D8" s="18" t="s">
        <v>12</v>
      </c>
      <c r="E8" s="9" t="s">
        <v>208</v>
      </c>
      <c r="F8" s="19"/>
      <c r="G8" s="2"/>
      <c r="H8" s="12"/>
      <c r="I8" s="12"/>
    </row>
    <row r="9" spans="1:9" ht="31.75" customHeight="1">
      <c r="A9" s="15"/>
      <c r="B9" s="16"/>
      <c r="C9" s="20">
        <f>Sheet1!C6</f>
        <v>995.85</v>
      </c>
      <c r="D9" s="21">
        <f>Sheet1!B6</f>
        <v>84.052944299999993</v>
      </c>
      <c r="E9" s="22">
        <f>C9-D9</f>
        <v>911.79705569999999</v>
      </c>
      <c r="F9" s="19"/>
      <c r="G9" s="2"/>
      <c r="H9" s="12"/>
      <c r="I9" s="12"/>
    </row>
    <row r="10" spans="1:9" s="5" customFormat="1" ht="48.9" customHeight="1">
      <c r="A10" s="39" t="s">
        <v>13</v>
      </c>
      <c r="B10" s="40"/>
      <c r="C10" s="40"/>
      <c r="D10" s="40"/>
      <c r="E10" s="40"/>
      <c r="F10" s="41"/>
      <c r="I10" s="23"/>
    </row>
    <row r="11" spans="1:9" ht="21.9" customHeight="1">
      <c r="A11" s="42" t="s">
        <v>14</v>
      </c>
      <c r="B11" s="40"/>
      <c r="C11" s="40"/>
      <c r="D11" s="40"/>
      <c r="E11" s="40"/>
      <c r="F11" s="40"/>
    </row>
    <row r="12" spans="1:9" ht="21.9" customHeight="1">
      <c r="A12" s="24" t="s">
        <v>15</v>
      </c>
      <c r="B12" s="43" t="s">
        <v>16</v>
      </c>
      <c r="C12" s="40"/>
      <c r="D12" s="40"/>
      <c r="E12" s="40"/>
      <c r="F12" s="41"/>
    </row>
    <row r="13" spans="1:9" ht="21.9" customHeight="1">
      <c r="A13" s="24" t="s">
        <v>17</v>
      </c>
      <c r="B13" s="32" t="s">
        <v>18</v>
      </c>
      <c r="C13" s="26"/>
      <c r="D13" s="26"/>
      <c r="E13" s="26"/>
      <c r="F13" s="27"/>
    </row>
    <row r="14" spans="1:9" ht="21.9" customHeight="1">
      <c r="A14" s="25" t="s">
        <v>19</v>
      </c>
      <c r="B14" s="43" t="s">
        <v>20</v>
      </c>
      <c r="C14" s="40"/>
      <c r="D14" s="40"/>
      <c r="E14" s="40"/>
      <c r="F14" s="41"/>
    </row>
    <row r="15" spans="1:9" ht="21.9" customHeight="1">
      <c r="A15" s="25" t="s">
        <v>21</v>
      </c>
      <c r="B15" s="44" t="s">
        <v>22</v>
      </c>
      <c r="C15" s="40"/>
      <c r="D15" s="40"/>
      <c r="E15" s="40"/>
      <c r="F15" s="41"/>
    </row>
    <row r="16" spans="1:9" ht="21.9" customHeight="1">
      <c r="A16" s="28" t="s">
        <v>23</v>
      </c>
      <c r="B16" s="29" t="s">
        <v>24</v>
      </c>
      <c r="C16" s="30" t="s">
        <v>25</v>
      </c>
      <c r="D16" s="30">
        <v>15057167293</v>
      </c>
      <c r="E16" s="30" t="s">
        <v>26</v>
      </c>
      <c r="F16" s="31" t="s">
        <v>27</v>
      </c>
    </row>
    <row r="18" spans="5:6" ht="22.1" customHeight="1"/>
    <row r="20" spans="5:6">
      <c r="E20" s="12"/>
    </row>
    <row r="21" spans="5:6">
      <c r="E21" s="12"/>
    </row>
    <row r="22" spans="5:6">
      <c r="E22" s="12"/>
    </row>
    <row r="23" spans="5:6">
      <c r="F23" s="12"/>
    </row>
    <row r="24" spans="5:6">
      <c r="E24" s="12"/>
    </row>
  </sheetData>
  <mergeCells count="11">
    <mergeCell ref="B15:F15"/>
    <mergeCell ref="A3:F3"/>
    <mergeCell ref="A4:F4"/>
    <mergeCell ref="B5:C5"/>
    <mergeCell ref="B6:C6"/>
    <mergeCell ref="A7:D7"/>
    <mergeCell ref="A1:F2"/>
    <mergeCell ref="A10:F10"/>
    <mergeCell ref="A11:F11"/>
    <mergeCell ref="B12:F12"/>
    <mergeCell ref="B14:F14"/>
  </mergeCells>
  <phoneticPr fontId="23" type="noConversion"/>
  <hyperlinks>
    <hyperlink ref="F16" r:id="rId1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1"/>
  <sheetViews>
    <sheetView workbookViewId="0">
      <selection activeCell="B33" sqref="B33"/>
    </sheetView>
  </sheetViews>
  <sheetFormatPr defaultColWidth="8.88671875" defaultRowHeight="15.65"/>
  <cols>
    <col min="1" max="1" width="19.6640625" style="4" customWidth="1"/>
    <col min="2" max="2" width="29.109375" style="4" customWidth="1"/>
    <col min="3" max="3" width="12.88671875" style="4" customWidth="1"/>
    <col min="4" max="4" width="13.44140625" style="4" customWidth="1"/>
    <col min="5" max="5" width="38.88671875" style="4" customWidth="1"/>
    <col min="6" max="6" width="18.5546875" style="4" customWidth="1"/>
    <col min="7" max="7" width="10.6640625" style="4" customWidth="1"/>
    <col min="8" max="8" width="20.21875" style="4" customWidth="1"/>
    <col min="9" max="9" width="21.109375" style="4" customWidth="1"/>
    <col min="10" max="10" width="20.88671875" style="4" customWidth="1"/>
    <col min="11" max="11" width="21.6640625" style="4" customWidth="1"/>
    <col min="12" max="12" width="11.21875" style="4" customWidth="1"/>
    <col min="13" max="13" width="21.88671875" style="4" customWidth="1"/>
    <col min="14" max="14" width="40.44140625" style="4" customWidth="1"/>
    <col min="15" max="15" width="19.109375" style="4" customWidth="1"/>
    <col min="16" max="16" width="26.109375" style="4" customWidth="1"/>
    <col min="17" max="17" width="41.109375" style="4" customWidth="1"/>
    <col min="18" max="18" width="36.5546875" style="4" customWidth="1"/>
    <col min="19" max="19" width="15.88671875" style="4" customWidth="1"/>
    <col min="20" max="20" width="20.21875" style="4" customWidth="1"/>
    <col min="21" max="21" width="13.109375" style="4" customWidth="1"/>
    <col min="22" max="22" width="21.77734375" style="4" customWidth="1"/>
    <col min="23" max="23" width="56.6640625" style="4" customWidth="1"/>
    <col min="24" max="24" width="38.6640625" style="4" customWidth="1"/>
    <col min="25" max="25" width="17.5546875" style="4" customWidth="1"/>
    <col min="26" max="26" width="13.6640625" style="4" customWidth="1"/>
    <col min="27" max="27" width="11" style="4" customWidth="1"/>
    <col min="28" max="28" width="14.88671875" style="4" customWidth="1"/>
    <col min="29" max="29" width="25.109375" style="4" customWidth="1"/>
    <col min="30" max="30" width="171.44140625" style="4" customWidth="1"/>
    <col min="31" max="31" width="16.5546875" style="4" customWidth="1"/>
    <col min="32" max="32" width="13.109375" style="4" customWidth="1"/>
    <col min="33" max="33" width="10.5546875" style="4" customWidth="1"/>
    <col min="34" max="34" width="14.77734375" style="4" customWidth="1"/>
    <col min="35" max="35" width="11.44140625" style="4" customWidth="1"/>
    <col min="36" max="36" width="14.6640625" style="4" customWidth="1"/>
    <col min="37" max="37" width="15.33203125" style="4" customWidth="1"/>
    <col min="38" max="38" width="25" style="4" customWidth="1"/>
    <col min="39" max="39" width="14.6640625" style="4" customWidth="1"/>
    <col min="40" max="40" width="28" style="4" customWidth="1"/>
    <col min="41" max="41" width="18.109375" style="4" customWidth="1"/>
    <col min="42" max="43" width="11.5546875" style="4" customWidth="1"/>
    <col min="44" max="44" width="13.5546875" style="4" customWidth="1"/>
    <col min="45" max="45" width="62.6640625" style="4" customWidth="1"/>
    <col min="46" max="46" width="10" style="4" customWidth="1"/>
    <col min="47" max="47" width="11.88671875" style="4" customWidth="1"/>
    <col min="48" max="48" width="5.5546875" style="4" customWidth="1"/>
    <col min="49" max="49" width="12.6640625" style="4" customWidth="1"/>
    <col min="50" max="50" width="16.5546875" style="4" customWidth="1"/>
    <col min="51" max="51" width="13" style="4" customWidth="1"/>
    <col min="52" max="52" width="9" style="4" customWidth="1"/>
    <col min="53" max="53" width="12.77734375" style="4" customWidth="1"/>
    <col min="54" max="54" width="8.5546875" style="4" customWidth="1"/>
    <col min="55" max="59" width="8.88671875" style="4" customWidth="1"/>
    <col min="60" max="16384" width="8.88671875" style="4"/>
  </cols>
  <sheetData>
    <row r="1" spans="1:54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  <c r="AC1" t="s">
        <v>56</v>
      </c>
      <c r="AD1" t="s">
        <v>57</v>
      </c>
      <c r="AE1" t="s">
        <v>58</v>
      </c>
      <c r="AF1" t="s">
        <v>59</v>
      </c>
      <c r="AG1" t="s">
        <v>60</v>
      </c>
      <c r="AH1" t="s">
        <v>61</v>
      </c>
      <c r="AI1" t="s">
        <v>62</v>
      </c>
      <c r="AJ1" t="s">
        <v>63</v>
      </c>
      <c r="AK1" t="s">
        <v>64</v>
      </c>
      <c r="AL1" t="s">
        <v>65</v>
      </c>
      <c r="AM1" t="s">
        <v>66</v>
      </c>
      <c r="AN1" t="s">
        <v>67</v>
      </c>
      <c r="AO1" t="s">
        <v>68</v>
      </c>
      <c r="AP1" t="s">
        <v>69</v>
      </c>
      <c r="AQ1" t="s">
        <v>70</v>
      </c>
      <c r="AR1" t="s">
        <v>71</v>
      </c>
      <c r="AS1" t="s">
        <v>72</v>
      </c>
      <c r="AT1" t="s">
        <v>73</v>
      </c>
      <c r="AU1" t="s">
        <v>74</v>
      </c>
      <c r="AV1" t="s">
        <v>75</v>
      </c>
      <c r="AW1" t="s">
        <v>76</v>
      </c>
      <c r="AX1" t="s">
        <v>77</v>
      </c>
      <c r="AY1" t="s">
        <v>78</v>
      </c>
      <c r="AZ1" t="s">
        <v>79</v>
      </c>
      <c r="BA1" t="s">
        <v>80</v>
      </c>
      <c r="BB1" t="s">
        <v>81</v>
      </c>
    </row>
    <row r="2" spans="1:54">
      <c r="A2" t="s">
        <v>82</v>
      </c>
      <c r="B2" t="s">
        <v>83</v>
      </c>
      <c r="E2" t="s">
        <v>84</v>
      </c>
      <c r="F2" t="s">
        <v>82</v>
      </c>
      <c r="J2" t="s">
        <v>85</v>
      </c>
      <c r="K2" t="s">
        <v>86</v>
      </c>
      <c r="L2" t="s">
        <v>87</v>
      </c>
      <c r="M2" t="s">
        <v>88</v>
      </c>
      <c r="N2" t="s">
        <v>89</v>
      </c>
      <c r="O2" t="s">
        <v>90</v>
      </c>
      <c r="P2" t="s">
        <v>91</v>
      </c>
      <c r="Q2" t="s">
        <v>92</v>
      </c>
      <c r="R2" t="s">
        <v>93</v>
      </c>
      <c r="S2" t="s">
        <v>94</v>
      </c>
      <c r="T2" t="s">
        <v>95</v>
      </c>
      <c r="U2" t="s">
        <v>96</v>
      </c>
      <c r="V2" t="s">
        <v>97</v>
      </c>
      <c r="W2" t="s">
        <v>98</v>
      </c>
      <c r="X2" t="s">
        <v>99</v>
      </c>
      <c r="Y2" t="s">
        <v>100</v>
      </c>
      <c r="Z2" t="s">
        <v>101</v>
      </c>
      <c r="AB2" t="s">
        <v>101</v>
      </c>
      <c r="AC2" t="s">
        <v>102</v>
      </c>
      <c r="AD2" t="s">
        <v>103</v>
      </c>
      <c r="AE2" t="s">
        <v>104</v>
      </c>
      <c r="AF2" t="s">
        <v>96</v>
      </c>
      <c r="AG2">
        <v>1.3899999999999999E-4</v>
      </c>
      <c r="AH2" t="s">
        <v>105</v>
      </c>
      <c r="AI2" t="s">
        <v>106</v>
      </c>
      <c r="AJ2" t="s">
        <v>107</v>
      </c>
      <c r="AK2" t="s">
        <v>107</v>
      </c>
      <c r="AL2">
        <v>1.39E-3</v>
      </c>
      <c r="AM2">
        <v>1.39E-3</v>
      </c>
      <c r="AN2">
        <v>1</v>
      </c>
      <c r="AO2" t="s">
        <v>86</v>
      </c>
      <c r="AS2" t="s">
        <v>108</v>
      </c>
      <c r="AT2">
        <v>10</v>
      </c>
      <c r="AU2" t="s">
        <v>109</v>
      </c>
      <c r="AY2" t="s">
        <v>110</v>
      </c>
      <c r="BB2" t="s">
        <v>111</v>
      </c>
    </row>
    <row r="3" spans="1:54">
      <c r="A3" t="s">
        <v>82</v>
      </c>
      <c r="B3" t="s">
        <v>83</v>
      </c>
      <c r="E3" t="s">
        <v>84</v>
      </c>
      <c r="F3" t="s">
        <v>82</v>
      </c>
      <c r="J3" t="s">
        <v>85</v>
      </c>
      <c r="K3" t="s">
        <v>86</v>
      </c>
      <c r="L3" t="s">
        <v>112</v>
      </c>
      <c r="M3" t="s">
        <v>88</v>
      </c>
      <c r="N3" t="s">
        <v>89</v>
      </c>
      <c r="O3" t="s">
        <v>90</v>
      </c>
      <c r="P3" t="s">
        <v>91</v>
      </c>
      <c r="Q3" t="s">
        <v>113</v>
      </c>
      <c r="R3" t="s">
        <v>114</v>
      </c>
      <c r="S3" t="s">
        <v>94</v>
      </c>
      <c r="T3" t="s">
        <v>95</v>
      </c>
      <c r="U3" t="s">
        <v>96</v>
      </c>
      <c r="V3" t="s">
        <v>115</v>
      </c>
      <c r="W3" t="s">
        <v>116</v>
      </c>
      <c r="X3" t="s">
        <v>99</v>
      </c>
      <c r="Y3" t="s">
        <v>100</v>
      </c>
      <c r="Z3" t="s">
        <v>101</v>
      </c>
      <c r="AB3" t="s">
        <v>101</v>
      </c>
      <c r="AC3" t="s">
        <v>102</v>
      </c>
      <c r="AD3" t="s">
        <v>103</v>
      </c>
      <c r="AE3" t="s">
        <v>104</v>
      </c>
      <c r="AF3" t="s">
        <v>96</v>
      </c>
      <c r="AG3">
        <v>7.2999999999999999E-5</v>
      </c>
      <c r="AH3" t="s">
        <v>105</v>
      </c>
      <c r="AI3" t="s">
        <v>106</v>
      </c>
      <c r="AJ3" t="s">
        <v>107</v>
      </c>
      <c r="AK3" t="s">
        <v>107</v>
      </c>
      <c r="AL3">
        <v>1.8249999999999999E-4</v>
      </c>
      <c r="AM3">
        <v>1.8249999999999999E-4</v>
      </c>
      <c r="AN3">
        <v>1</v>
      </c>
      <c r="AO3" t="s">
        <v>86</v>
      </c>
      <c r="AS3" t="s">
        <v>117</v>
      </c>
      <c r="AT3">
        <v>2.5</v>
      </c>
      <c r="AU3" t="s">
        <v>109</v>
      </c>
      <c r="AY3" t="s">
        <v>110</v>
      </c>
      <c r="BB3" t="s">
        <v>111</v>
      </c>
    </row>
    <row r="4" spans="1:54">
      <c r="A4" t="s">
        <v>82</v>
      </c>
      <c r="B4" t="s">
        <v>83</v>
      </c>
      <c r="E4" t="s">
        <v>84</v>
      </c>
      <c r="F4" t="s">
        <v>82</v>
      </c>
      <c r="J4" t="s">
        <v>85</v>
      </c>
      <c r="K4" t="s">
        <v>86</v>
      </c>
      <c r="L4" t="s">
        <v>112</v>
      </c>
      <c r="M4" t="s">
        <v>88</v>
      </c>
      <c r="N4" t="s">
        <v>89</v>
      </c>
      <c r="O4" t="s">
        <v>90</v>
      </c>
      <c r="P4" t="s">
        <v>91</v>
      </c>
      <c r="Q4" t="s">
        <v>118</v>
      </c>
      <c r="R4" t="s">
        <v>119</v>
      </c>
      <c r="S4" t="s">
        <v>94</v>
      </c>
      <c r="T4" t="s">
        <v>120</v>
      </c>
      <c r="U4" t="s">
        <v>96</v>
      </c>
      <c r="V4" t="s">
        <v>121</v>
      </c>
      <c r="W4" t="s">
        <v>122</v>
      </c>
      <c r="X4" t="s">
        <v>99</v>
      </c>
      <c r="Y4" t="s">
        <v>100</v>
      </c>
      <c r="Z4" t="s">
        <v>101</v>
      </c>
      <c r="AB4" t="s">
        <v>101</v>
      </c>
      <c r="AC4" t="s">
        <v>102</v>
      </c>
      <c r="AD4" t="s">
        <v>103</v>
      </c>
      <c r="AE4" t="s">
        <v>104</v>
      </c>
      <c r="AF4" t="s">
        <v>96</v>
      </c>
      <c r="AG4">
        <v>3.4000000000000002E-2</v>
      </c>
      <c r="AH4" t="s">
        <v>123</v>
      </c>
      <c r="AI4" t="s">
        <v>106</v>
      </c>
      <c r="AJ4" t="s">
        <v>107</v>
      </c>
      <c r="AK4" t="s">
        <v>107</v>
      </c>
      <c r="AL4">
        <v>8.5000000000000006E-5</v>
      </c>
      <c r="AM4">
        <v>8.5000000000000006E-5</v>
      </c>
      <c r="AN4">
        <v>1</v>
      </c>
      <c r="AO4" t="s">
        <v>86</v>
      </c>
      <c r="AS4" t="s">
        <v>124</v>
      </c>
      <c r="AT4">
        <v>2.5000000000000001E-3</v>
      </c>
      <c r="AU4" t="s">
        <v>109</v>
      </c>
      <c r="AY4" t="s">
        <v>110</v>
      </c>
      <c r="BB4" t="s">
        <v>111</v>
      </c>
    </row>
    <row r="5" spans="1:54">
      <c r="A5" t="s">
        <v>82</v>
      </c>
      <c r="B5" t="s">
        <v>83</v>
      </c>
      <c r="E5" t="s">
        <v>84</v>
      </c>
      <c r="F5" t="s">
        <v>82</v>
      </c>
      <c r="J5" t="s">
        <v>85</v>
      </c>
      <c r="K5" t="s">
        <v>86</v>
      </c>
      <c r="L5" t="s">
        <v>125</v>
      </c>
      <c r="M5" t="s">
        <v>88</v>
      </c>
      <c r="N5" t="s">
        <v>89</v>
      </c>
      <c r="O5" t="s">
        <v>90</v>
      </c>
      <c r="P5" t="s">
        <v>91</v>
      </c>
      <c r="Q5" t="s">
        <v>126</v>
      </c>
      <c r="R5" t="s">
        <v>127</v>
      </c>
      <c r="S5" t="s">
        <v>94</v>
      </c>
      <c r="T5" t="s">
        <v>95</v>
      </c>
      <c r="U5" t="s">
        <v>96</v>
      </c>
      <c r="V5" t="s">
        <v>128</v>
      </c>
      <c r="W5" t="s">
        <v>129</v>
      </c>
      <c r="X5" t="s">
        <v>99</v>
      </c>
      <c r="Y5" t="s">
        <v>100</v>
      </c>
      <c r="Z5" t="s">
        <v>101</v>
      </c>
      <c r="AB5" t="s">
        <v>101</v>
      </c>
      <c r="AC5" t="s">
        <v>102</v>
      </c>
      <c r="AD5" t="s">
        <v>103</v>
      </c>
      <c r="AE5" t="s">
        <v>104</v>
      </c>
      <c r="AF5" t="s">
        <v>96</v>
      </c>
      <c r="AG5">
        <v>4.4650000000000002E-2</v>
      </c>
      <c r="AH5" t="s">
        <v>105</v>
      </c>
      <c r="AI5" t="s">
        <v>106</v>
      </c>
      <c r="AJ5" t="s">
        <v>107</v>
      </c>
      <c r="AK5" t="s">
        <v>107</v>
      </c>
      <c r="AL5">
        <v>0.66974999999999996</v>
      </c>
      <c r="AM5">
        <v>0.66974999999999996</v>
      </c>
      <c r="AN5">
        <v>1</v>
      </c>
      <c r="AO5" t="s">
        <v>86</v>
      </c>
      <c r="AS5" t="s">
        <v>117</v>
      </c>
      <c r="AT5">
        <v>15</v>
      </c>
      <c r="AU5" t="s">
        <v>109</v>
      </c>
      <c r="AY5" t="s">
        <v>110</v>
      </c>
      <c r="BB5" t="s">
        <v>111</v>
      </c>
    </row>
    <row r="6" spans="1:54">
      <c r="A6" t="s">
        <v>82</v>
      </c>
      <c r="B6" t="s">
        <v>83</v>
      </c>
      <c r="E6" t="s">
        <v>84</v>
      </c>
      <c r="F6" t="s">
        <v>82</v>
      </c>
      <c r="J6" t="s">
        <v>85</v>
      </c>
      <c r="K6" t="s">
        <v>86</v>
      </c>
      <c r="L6" t="s">
        <v>130</v>
      </c>
      <c r="M6" t="s">
        <v>88</v>
      </c>
      <c r="N6" t="s">
        <v>89</v>
      </c>
      <c r="O6" t="s">
        <v>90</v>
      </c>
      <c r="P6" t="s">
        <v>91</v>
      </c>
      <c r="Q6" t="s">
        <v>113</v>
      </c>
      <c r="R6" t="s">
        <v>114</v>
      </c>
      <c r="S6" t="s">
        <v>94</v>
      </c>
      <c r="T6" t="s">
        <v>95</v>
      </c>
      <c r="U6" t="s">
        <v>96</v>
      </c>
      <c r="V6" t="s">
        <v>115</v>
      </c>
      <c r="W6" t="s">
        <v>116</v>
      </c>
      <c r="X6" t="s">
        <v>99</v>
      </c>
      <c r="Y6" t="s">
        <v>100</v>
      </c>
      <c r="Z6" t="s">
        <v>101</v>
      </c>
      <c r="AB6" t="s">
        <v>101</v>
      </c>
      <c r="AC6" t="s">
        <v>102</v>
      </c>
      <c r="AD6" t="s">
        <v>103</v>
      </c>
      <c r="AE6" t="s">
        <v>104</v>
      </c>
      <c r="AF6" t="s">
        <v>96</v>
      </c>
      <c r="AG6">
        <v>0.27642499999999998</v>
      </c>
      <c r="AH6" t="s">
        <v>105</v>
      </c>
      <c r="AI6" t="s">
        <v>106</v>
      </c>
      <c r="AJ6" t="s">
        <v>107</v>
      </c>
      <c r="AK6" t="s">
        <v>107</v>
      </c>
      <c r="AL6">
        <v>0.69106250000000002</v>
      </c>
      <c r="AM6">
        <v>0.69106250000000002</v>
      </c>
      <c r="AN6">
        <v>1</v>
      </c>
      <c r="AO6" t="s">
        <v>86</v>
      </c>
      <c r="AS6" t="s">
        <v>117</v>
      </c>
      <c r="AT6">
        <v>2.5</v>
      </c>
      <c r="AU6" t="s">
        <v>109</v>
      </c>
      <c r="AY6" t="s">
        <v>110</v>
      </c>
      <c r="BB6" t="s">
        <v>111</v>
      </c>
    </row>
    <row r="7" spans="1:54">
      <c r="A7" t="s">
        <v>82</v>
      </c>
      <c r="B7" t="s">
        <v>83</v>
      </c>
      <c r="E7" t="s">
        <v>84</v>
      </c>
      <c r="F7" t="s">
        <v>82</v>
      </c>
      <c r="J7" t="s">
        <v>85</v>
      </c>
      <c r="K7" t="s">
        <v>86</v>
      </c>
      <c r="L7" t="s">
        <v>112</v>
      </c>
      <c r="M7" t="s">
        <v>88</v>
      </c>
      <c r="N7" t="s">
        <v>89</v>
      </c>
      <c r="O7" t="s">
        <v>90</v>
      </c>
      <c r="P7" t="s">
        <v>91</v>
      </c>
      <c r="Q7" t="s">
        <v>131</v>
      </c>
      <c r="R7" t="s">
        <v>132</v>
      </c>
      <c r="S7" t="s">
        <v>94</v>
      </c>
      <c r="T7" t="s">
        <v>95</v>
      </c>
      <c r="U7" t="s">
        <v>96</v>
      </c>
      <c r="V7" t="s">
        <v>133</v>
      </c>
      <c r="W7" t="s">
        <v>134</v>
      </c>
      <c r="X7" t="s">
        <v>99</v>
      </c>
      <c r="Y7" t="s">
        <v>100</v>
      </c>
      <c r="Z7" t="s">
        <v>101</v>
      </c>
      <c r="AB7" t="s">
        <v>101</v>
      </c>
      <c r="AC7" t="s">
        <v>102</v>
      </c>
      <c r="AD7" t="s">
        <v>103</v>
      </c>
      <c r="AE7" t="s">
        <v>104</v>
      </c>
      <c r="AF7" t="s">
        <v>96</v>
      </c>
      <c r="AG7">
        <v>9.6000000000000002E-5</v>
      </c>
      <c r="AH7" t="s">
        <v>105</v>
      </c>
      <c r="AI7" t="s">
        <v>106</v>
      </c>
      <c r="AJ7" t="s">
        <v>107</v>
      </c>
      <c r="AK7" t="s">
        <v>107</v>
      </c>
      <c r="AL7">
        <v>3.8399999999999998E-5</v>
      </c>
      <c r="AM7">
        <v>3.8399999999999998E-5</v>
      </c>
      <c r="AN7">
        <v>1</v>
      </c>
      <c r="AO7" t="s">
        <v>86</v>
      </c>
      <c r="AS7" t="s">
        <v>135</v>
      </c>
      <c r="AT7">
        <v>0.4</v>
      </c>
      <c r="AU7" t="s">
        <v>109</v>
      </c>
      <c r="AY7" t="s">
        <v>110</v>
      </c>
      <c r="BB7" t="s">
        <v>111</v>
      </c>
    </row>
    <row r="8" spans="1:54">
      <c r="A8" t="s">
        <v>82</v>
      </c>
      <c r="B8" t="s">
        <v>83</v>
      </c>
      <c r="E8" t="s">
        <v>84</v>
      </c>
      <c r="F8" t="s">
        <v>82</v>
      </c>
      <c r="J8" t="s">
        <v>85</v>
      </c>
      <c r="K8" t="s">
        <v>86</v>
      </c>
      <c r="L8" t="s">
        <v>136</v>
      </c>
      <c r="M8" t="s">
        <v>88</v>
      </c>
      <c r="N8" t="s">
        <v>89</v>
      </c>
      <c r="O8" t="s">
        <v>90</v>
      </c>
      <c r="P8" t="s">
        <v>91</v>
      </c>
      <c r="Q8" t="s">
        <v>137</v>
      </c>
      <c r="R8" t="s">
        <v>138</v>
      </c>
      <c r="S8" t="s">
        <v>94</v>
      </c>
      <c r="T8" t="s">
        <v>95</v>
      </c>
      <c r="U8" t="s">
        <v>96</v>
      </c>
      <c r="V8" t="s">
        <v>139</v>
      </c>
      <c r="W8" t="s">
        <v>140</v>
      </c>
      <c r="X8" t="s">
        <v>99</v>
      </c>
      <c r="Y8" t="s">
        <v>100</v>
      </c>
      <c r="Z8" t="s">
        <v>101</v>
      </c>
      <c r="AB8" t="s">
        <v>101</v>
      </c>
      <c r="AC8" t="s">
        <v>102</v>
      </c>
      <c r="AD8" t="s">
        <v>103</v>
      </c>
      <c r="AE8" t="s">
        <v>104</v>
      </c>
      <c r="AF8" t="s">
        <v>96</v>
      </c>
      <c r="AG8">
        <v>3.8099999999999999E-4</v>
      </c>
      <c r="AH8" t="s">
        <v>105</v>
      </c>
      <c r="AI8" t="s">
        <v>106</v>
      </c>
      <c r="AJ8" t="s">
        <v>107</v>
      </c>
      <c r="AK8" t="s">
        <v>107</v>
      </c>
      <c r="AL8">
        <v>1.7145000000000001E-3</v>
      </c>
      <c r="AM8">
        <v>1.7145000000000001E-3</v>
      </c>
      <c r="AN8">
        <v>1</v>
      </c>
      <c r="AO8" t="s">
        <v>86</v>
      </c>
      <c r="AS8" t="s">
        <v>141</v>
      </c>
      <c r="AT8">
        <v>4.5</v>
      </c>
      <c r="AU8" t="s">
        <v>109</v>
      </c>
      <c r="AY8" t="s">
        <v>110</v>
      </c>
      <c r="BB8" t="s">
        <v>111</v>
      </c>
    </row>
    <row r="9" spans="1:54">
      <c r="A9" t="s">
        <v>82</v>
      </c>
      <c r="B9" t="s">
        <v>83</v>
      </c>
      <c r="E9" t="s">
        <v>84</v>
      </c>
      <c r="F9" t="s">
        <v>82</v>
      </c>
      <c r="J9" t="s">
        <v>85</v>
      </c>
      <c r="K9" t="s">
        <v>86</v>
      </c>
      <c r="L9" t="s">
        <v>136</v>
      </c>
      <c r="M9" t="s">
        <v>88</v>
      </c>
      <c r="N9" t="s">
        <v>89</v>
      </c>
      <c r="O9" t="s">
        <v>90</v>
      </c>
      <c r="P9" t="s">
        <v>91</v>
      </c>
      <c r="Q9" t="s">
        <v>142</v>
      </c>
      <c r="R9" t="s">
        <v>143</v>
      </c>
      <c r="S9" t="s">
        <v>94</v>
      </c>
      <c r="T9" t="s">
        <v>95</v>
      </c>
      <c r="U9" t="s">
        <v>96</v>
      </c>
      <c r="V9" t="s">
        <v>144</v>
      </c>
      <c r="W9" t="s">
        <v>145</v>
      </c>
      <c r="X9" t="s">
        <v>99</v>
      </c>
      <c r="Y9" t="s">
        <v>100</v>
      </c>
      <c r="Z9" t="s">
        <v>101</v>
      </c>
      <c r="AB9" t="s">
        <v>101</v>
      </c>
      <c r="AC9" t="s">
        <v>102</v>
      </c>
      <c r="AD9" t="s">
        <v>103</v>
      </c>
      <c r="AE9" t="s">
        <v>104</v>
      </c>
      <c r="AF9" t="s">
        <v>96</v>
      </c>
      <c r="AG9">
        <v>5.7064999999999998E-2</v>
      </c>
      <c r="AH9" t="s">
        <v>105</v>
      </c>
      <c r="AI9" t="s">
        <v>106</v>
      </c>
      <c r="AJ9" t="s">
        <v>107</v>
      </c>
      <c r="AK9" t="s">
        <v>107</v>
      </c>
      <c r="AL9">
        <v>4.2798750000000003E-2</v>
      </c>
      <c r="AM9">
        <v>4.2798750000000003E-2</v>
      </c>
      <c r="AN9">
        <v>1</v>
      </c>
      <c r="AO9" t="s">
        <v>86</v>
      </c>
      <c r="AS9" t="s">
        <v>141</v>
      </c>
      <c r="AT9">
        <v>0.75</v>
      </c>
      <c r="AU9" t="s">
        <v>109</v>
      </c>
      <c r="AY9" t="s">
        <v>110</v>
      </c>
      <c r="BB9" t="s">
        <v>111</v>
      </c>
    </row>
    <row r="10" spans="1:54">
      <c r="A10" t="s">
        <v>82</v>
      </c>
      <c r="B10" t="s">
        <v>83</v>
      </c>
      <c r="E10" t="s">
        <v>84</v>
      </c>
      <c r="F10" t="s">
        <v>82</v>
      </c>
      <c r="J10" t="s">
        <v>85</v>
      </c>
      <c r="K10" t="s">
        <v>86</v>
      </c>
      <c r="L10" t="s">
        <v>112</v>
      </c>
      <c r="M10" t="s">
        <v>88</v>
      </c>
      <c r="N10" t="s">
        <v>89</v>
      </c>
      <c r="O10" t="s">
        <v>90</v>
      </c>
      <c r="P10" t="s">
        <v>91</v>
      </c>
      <c r="Q10" t="s">
        <v>126</v>
      </c>
      <c r="R10" t="s">
        <v>127</v>
      </c>
      <c r="S10" t="s">
        <v>94</v>
      </c>
      <c r="T10" t="s">
        <v>95</v>
      </c>
      <c r="U10" t="s">
        <v>96</v>
      </c>
      <c r="V10" t="s">
        <v>128</v>
      </c>
      <c r="W10" t="s">
        <v>129</v>
      </c>
      <c r="X10" t="s">
        <v>99</v>
      </c>
      <c r="Y10" t="s">
        <v>100</v>
      </c>
      <c r="Z10" t="s">
        <v>101</v>
      </c>
      <c r="AB10" t="s">
        <v>101</v>
      </c>
      <c r="AC10" t="s">
        <v>102</v>
      </c>
      <c r="AD10" t="s">
        <v>103</v>
      </c>
      <c r="AE10" t="s">
        <v>104</v>
      </c>
      <c r="AF10" t="s">
        <v>96</v>
      </c>
      <c r="AG10">
        <v>3.0000000000000001E-5</v>
      </c>
      <c r="AH10" t="s">
        <v>105</v>
      </c>
      <c r="AI10" t="s">
        <v>106</v>
      </c>
      <c r="AJ10" t="s">
        <v>107</v>
      </c>
      <c r="AK10" t="s">
        <v>107</v>
      </c>
      <c r="AL10">
        <v>4.4999999999999999E-4</v>
      </c>
      <c r="AM10">
        <v>4.4999999999999999E-4</v>
      </c>
      <c r="AN10">
        <v>1</v>
      </c>
      <c r="AO10" t="s">
        <v>86</v>
      </c>
      <c r="AS10" t="s">
        <v>117</v>
      </c>
      <c r="AT10">
        <v>15</v>
      </c>
      <c r="AU10" t="s">
        <v>109</v>
      </c>
      <c r="AY10" t="s">
        <v>110</v>
      </c>
      <c r="BB10" t="s">
        <v>111</v>
      </c>
    </row>
    <row r="11" spans="1:54">
      <c r="A11" t="s">
        <v>82</v>
      </c>
      <c r="B11" t="s">
        <v>83</v>
      </c>
      <c r="E11" t="s">
        <v>84</v>
      </c>
      <c r="F11" t="s">
        <v>82</v>
      </c>
      <c r="J11" t="s">
        <v>85</v>
      </c>
      <c r="K11" t="s">
        <v>86</v>
      </c>
      <c r="L11" t="s">
        <v>112</v>
      </c>
      <c r="M11" t="s">
        <v>88</v>
      </c>
      <c r="N11" t="s">
        <v>89</v>
      </c>
      <c r="O11" t="s">
        <v>90</v>
      </c>
      <c r="P11" t="s">
        <v>91</v>
      </c>
      <c r="Q11" t="s">
        <v>146</v>
      </c>
      <c r="R11" t="s">
        <v>147</v>
      </c>
      <c r="S11" t="s">
        <v>94</v>
      </c>
      <c r="T11" t="s">
        <v>95</v>
      </c>
      <c r="U11" t="s">
        <v>96</v>
      </c>
      <c r="V11" t="s">
        <v>148</v>
      </c>
      <c r="W11" t="s">
        <v>149</v>
      </c>
      <c r="X11" t="s">
        <v>99</v>
      </c>
      <c r="Y11" t="s">
        <v>100</v>
      </c>
      <c r="Z11" t="s">
        <v>101</v>
      </c>
      <c r="AB11" t="s">
        <v>101</v>
      </c>
      <c r="AC11" t="s">
        <v>102</v>
      </c>
      <c r="AD11" t="s">
        <v>103</v>
      </c>
      <c r="AE11" t="s">
        <v>104</v>
      </c>
      <c r="AF11" t="s">
        <v>96</v>
      </c>
      <c r="AG11">
        <v>3.4E-5</v>
      </c>
      <c r="AH11" t="s">
        <v>105</v>
      </c>
      <c r="AI11" t="s">
        <v>106</v>
      </c>
      <c r="AJ11" t="s">
        <v>107</v>
      </c>
      <c r="AK11" t="s">
        <v>107</v>
      </c>
      <c r="AL11">
        <v>1.7E-6</v>
      </c>
      <c r="AM11">
        <v>1.7E-6</v>
      </c>
      <c r="AN11">
        <v>1</v>
      </c>
      <c r="AO11" t="s">
        <v>86</v>
      </c>
      <c r="AS11" t="s">
        <v>135</v>
      </c>
      <c r="AT11">
        <v>0.05</v>
      </c>
      <c r="AU11" t="s">
        <v>109</v>
      </c>
      <c r="AY11" t="s">
        <v>110</v>
      </c>
      <c r="BB11" t="s">
        <v>111</v>
      </c>
    </row>
    <row r="12" spans="1:54">
      <c r="A12" t="s">
        <v>82</v>
      </c>
      <c r="B12" t="s">
        <v>83</v>
      </c>
      <c r="E12" t="s">
        <v>84</v>
      </c>
      <c r="F12" t="s">
        <v>82</v>
      </c>
      <c r="J12" t="s">
        <v>85</v>
      </c>
      <c r="K12" t="s">
        <v>86</v>
      </c>
      <c r="L12" t="s">
        <v>130</v>
      </c>
      <c r="M12" t="s">
        <v>88</v>
      </c>
      <c r="N12" t="s">
        <v>89</v>
      </c>
      <c r="O12" t="s">
        <v>90</v>
      </c>
      <c r="P12" t="s">
        <v>91</v>
      </c>
      <c r="Q12" t="s">
        <v>142</v>
      </c>
      <c r="R12" t="s">
        <v>143</v>
      </c>
      <c r="S12" t="s">
        <v>94</v>
      </c>
      <c r="T12" t="s">
        <v>95</v>
      </c>
      <c r="U12" t="s">
        <v>96</v>
      </c>
      <c r="V12" t="s">
        <v>144</v>
      </c>
      <c r="W12" t="s">
        <v>145</v>
      </c>
      <c r="X12" t="s">
        <v>99</v>
      </c>
      <c r="Y12" t="s">
        <v>100</v>
      </c>
      <c r="Z12" t="s">
        <v>101</v>
      </c>
      <c r="AB12" t="s">
        <v>101</v>
      </c>
      <c r="AC12" t="s">
        <v>102</v>
      </c>
      <c r="AD12" t="s">
        <v>103</v>
      </c>
      <c r="AE12" t="s">
        <v>104</v>
      </c>
      <c r="AF12" t="s">
        <v>96</v>
      </c>
      <c r="AG12">
        <v>0.59719599999999995</v>
      </c>
      <c r="AH12" t="s">
        <v>105</v>
      </c>
      <c r="AI12" t="s">
        <v>106</v>
      </c>
      <c r="AJ12" t="s">
        <v>107</v>
      </c>
      <c r="AK12" t="s">
        <v>107</v>
      </c>
      <c r="AL12">
        <v>0.44789699999999999</v>
      </c>
      <c r="AM12">
        <v>0.44789699999999999</v>
      </c>
      <c r="AN12">
        <v>1</v>
      </c>
      <c r="AO12" t="s">
        <v>86</v>
      </c>
      <c r="AS12" t="s">
        <v>141</v>
      </c>
      <c r="AT12">
        <v>0.75</v>
      </c>
      <c r="AU12" t="s">
        <v>109</v>
      </c>
      <c r="AY12" t="s">
        <v>110</v>
      </c>
      <c r="BB12" t="s">
        <v>111</v>
      </c>
    </row>
    <row r="13" spans="1:54">
      <c r="A13" t="s">
        <v>82</v>
      </c>
      <c r="B13" t="s">
        <v>83</v>
      </c>
      <c r="E13" t="s">
        <v>84</v>
      </c>
      <c r="F13" t="s">
        <v>82</v>
      </c>
      <c r="J13" t="s">
        <v>85</v>
      </c>
      <c r="K13" t="s">
        <v>86</v>
      </c>
      <c r="L13" t="s">
        <v>87</v>
      </c>
      <c r="M13" t="s">
        <v>88</v>
      </c>
      <c r="N13" t="s">
        <v>89</v>
      </c>
      <c r="O13" t="s">
        <v>90</v>
      </c>
      <c r="P13" t="s">
        <v>91</v>
      </c>
      <c r="Q13" t="s">
        <v>150</v>
      </c>
      <c r="R13" t="s">
        <v>151</v>
      </c>
      <c r="S13" t="s">
        <v>94</v>
      </c>
      <c r="T13" t="s">
        <v>120</v>
      </c>
      <c r="U13" t="s">
        <v>96</v>
      </c>
      <c r="V13" t="s">
        <v>152</v>
      </c>
      <c r="W13" t="s">
        <v>153</v>
      </c>
      <c r="X13" t="s">
        <v>99</v>
      </c>
      <c r="Y13" t="s">
        <v>100</v>
      </c>
      <c r="Z13" t="s">
        <v>101</v>
      </c>
      <c r="AB13" t="s">
        <v>101</v>
      </c>
      <c r="AC13" t="s">
        <v>102</v>
      </c>
      <c r="AD13" t="s">
        <v>103</v>
      </c>
      <c r="AE13" t="s">
        <v>104</v>
      </c>
      <c r="AF13" t="s">
        <v>96</v>
      </c>
      <c r="AG13">
        <v>2E-3</v>
      </c>
      <c r="AH13" t="s">
        <v>123</v>
      </c>
      <c r="AI13" t="s">
        <v>106</v>
      </c>
      <c r="AJ13" t="s">
        <v>107</v>
      </c>
      <c r="AK13" t="s">
        <v>107</v>
      </c>
      <c r="AL13">
        <v>2.0000000000000002E-5</v>
      </c>
      <c r="AM13">
        <v>2.0000000000000002E-5</v>
      </c>
      <c r="AN13">
        <v>1</v>
      </c>
      <c r="AO13" t="s">
        <v>86</v>
      </c>
      <c r="AS13" t="s">
        <v>124</v>
      </c>
      <c r="AT13">
        <v>0.01</v>
      </c>
      <c r="AU13" t="s">
        <v>109</v>
      </c>
      <c r="AY13" t="s">
        <v>110</v>
      </c>
      <c r="BB13" t="s">
        <v>111</v>
      </c>
    </row>
    <row r="14" spans="1:54">
      <c r="A14" t="s">
        <v>82</v>
      </c>
      <c r="B14" t="s">
        <v>83</v>
      </c>
      <c r="E14" t="s">
        <v>84</v>
      </c>
      <c r="F14" t="s">
        <v>82</v>
      </c>
      <c r="J14" t="s">
        <v>85</v>
      </c>
      <c r="K14" t="s">
        <v>86</v>
      </c>
      <c r="L14" t="s">
        <v>87</v>
      </c>
      <c r="M14" t="s">
        <v>88</v>
      </c>
      <c r="N14" t="s">
        <v>89</v>
      </c>
      <c r="O14" t="s">
        <v>90</v>
      </c>
      <c r="P14" t="s">
        <v>91</v>
      </c>
      <c r="Q14" t="s">
        <v>118</v>
      </c>
      <c r="R14" t="s">
        <v>119</v>
      </c>
      <c r="S14" t="s">
        <v>94</v>
      </c>
      <c r="T14" t="s">
        <v>120</v>
      </c>
      <c r="U14" t="s">
        <v>96</v>
      </c>
      <c r="V14" t="s">
        <v>121</v>
      </c>
      <c r="W14" t="s">
        <v>122</v>
      </c>
      <c r="X14" t="s">
        <v>99</v>
      </c>
      <c r="Y14" t="s">
        <v>100</v>
      </c>
      <c r="Z14" t="s">
        <v>101</v>
      </c>
      <c r="AB14" t="s">
        <v>101</v>
      </c>
      <c r="AC14" t="s">
        <v>102</v>
      </c>
      <c r="AD14" t="s">
        <v>103</v>
      </c>
      <c r="AE14" t="s">
        <v>104</v>
      </c>
      <c r="AF14" t="s">
        <v>96</v>
      </c>
      <c r="AG14">
        <v>1.4999999999999999E-2</v>
      </c>
      <c r="AH14" t="s">
        <v>123</v>
      </c>
      <c r="AI14" t="s">
        <v>106</v>
      </c>
      <c r="AJ14" t="s">
        <v>107</v>
      </c>
      <c r="AK14" t="s">
        <v>107</v>
      </c>
      <c r="AL14">
        <v>3.7499999999999997E-5</v>
      </c>
      <c r="AM14">
        <v>3.7499999999999997E-5</v>
      </c>
      <c r="AN14">
        <v>1</v>
      </c>
      <c r="AO14" t="s">
        <v>86</v>
      </c>
      <c r="AS14" t="s">
        <v>124</v>
      </c>
      <c r="AT14">
        <v>2.5000000000000001E-3</v>
      </c>
      <c r="AU14" t="s">
        <v>109</v>
      </c>
      <c r="AY14" t="s">
        <v>110</v>
      </c>
      <c r="BB14" t="s">
        <v>111</v>
      </c>
    </row>
    <row r="15" spans="1:54">
      <c r="A15" t="s">
        <v>82</v>
      </c>
      <c r="B15" t="s">
        <v>83</v>
      </c>
      <c r="E15" t="s">
        <v>84</v>
      </c>
      <c r="F15" t="s">
        <v>82</v>
      </c>
      <c r="J15" t="s">
        <v>85</v>
      </c>
      <c r="K15" t="s">
        <v>86</v>
      </c>
      <c r="L15" t="s">
        <v>112</v>
      </c>
      <c r="M15" t="s">
        <v>88</v>
      </c>
      <c r="N15" t="s">
        <v>89</v>
      </c>
      <c r="O15" t="s">
        <v>90</v>
      </c>
      <c r="P15" t="s">
        <v>91</v>
      </c>
      <c r="Q15" t="s">
        <v>154</v>
      </c>
      <c r="R15" t="s">
        <v>155</v>
      </c>
      <c r="S15" t="s">
        <v>94</v>
      </c>
      <c r="T15" t="s">
        <v>95</v>
      </c>
      <c r="U15" t="s">
        <v>96</v>
      </c>
      <c r="V15" t="s">
        <v>156</v>
      </c>
      <c r="W15" t="s">
        <v>157</v>
      </c>
      <c r="X15" t="s">
        <v>99</v>
      </c>
      <c r="Y15" t="s">
        <v>100</v>
      </c>
      <c r="Z15" t="s">
        <v>101</v>
      </c>
      <c r="AB15" t="s">
        <v>101</v>
      </c>
      <c r="AC15" t="s">
        <v>102</v>
      </c>
      <c r="AD15" t="s">
        <v>103</v>
      </c>
      <c r="AE15" t="s">
        <v>104</v>
      </c>
      <c r="AF15" t="s">
        <v>96</v>
      </c>
      <c r="AG15">
        <v>1.0000000000000001E-5</v>
      </c>
      <c r="AH15" t="s">
        <v>105</v>
      </c>
      <c r="AI15" t="s">
        <v>106</v>
      </c>
      <c r="AJ15" t="s">
        <v>107</v>
      </c>
      <c r="AK15" t="s">
        <v>107</v>
      </c>
      <c r="AL15">
        <v>1.3999999999999999E-4</v>
      </c>
      <c r="AM15">
        <v>1.3999999999999999E-4</v>
      </c>
      <c r="AN15">
        <v>1</v>
      </c>
      <c r="AO15" t="s">
        <v>86</v>
      </c>
      <c r="AS15" t="s">
        <v>158</v>
      </c>
      <c r="AT15">
        <v>14</v>
      </c>
      <c r="AU15" t="s">
        <v>109</v>
      </c>
      <c r="AY15" t="s">
        <v>110</v>
      </c>
      <c r="BB15" t="s">
        <v>111</v>
      </c>
    </row>
    <row r="16" spans="1:54">
      <c r="A16" t="s">
        <v>82</v>
      </c>
      <c r="B16" t="s">
        <v>83</v>
      </c>
      <c r="E16" t="s">
        <v>84</v>
      </c>
      <c r="F16" t="s">
        <v>82</v>
      </c>
      <c r="J16" t="s">
        <v>85</v>
      </c>
      <c r="K16" t="s">
        <v>86</v>
      </c>
      <c r="L16" t="s">
        <v>130</v>
      </c>
      <c r="M16" t="s">
        <v>88</v>
      </c>
      <c r="N16" t="s">
        <v>89</v>
      </c>
      <c r="O16" t="s">
        <v>90</v>
      </c>
      <c r="P16" t="s">
        <v>91</v>
      </c>
      <c r="Q16" t="s">
        <v>159</v>
      </c>
      <c r="R16" t="s">
        <v>160</v>
      </c>
      <c r="S16" t="s">
        <v>94</v>
      </c>
      <c r="T16" t="s">
        <v>120</v>
      </c>
      <c r="U16" t="s">
        <v>96</v>
      </c>
      <c r="V16" t="s">
        <v>161</v>
      </c>
      <c r="W16" t="s">
        <v>162</v>
      </c>
      <c r="X16" t="s">
        <v>99</v>
      </c>
      <c r="Y16" t="s">
        <v>100</v>
      </c>
      <c r="Z16" t="s">
        <v>101</v>
      </c>
      <c r="AB16" t="s">
        <v>101</v>
      </c>
      <c r="AC16" t="s">
        <v>102</v>
      </c>
      <c r="AD16" t="s">
        <v>103</v>
      </c>
      <c r="AE16" t="s">
        <v>104</v>
      </c>
      <c r="AF16" t="s">
        <v>96</v>
      </c>
      <c r="AG16">
        <v>2E-3</v>
      </c>
      <c r="AH16" t="s">
        <v>123</v>
      </c>
      <c r="AI16" t="s">
        <v>106</v>
      </c>
      <c r="AJ16" t="s">
        <v>107</v>
      </c>
      <c r="AK16" t="s">
        <v>107</v>
      </c>
      <c r="AL16">
        <v>1.5999999999999999E-5</v>
      </c>
      <c r="AM16">
        <v>1.5999999999999999E-5</v>
      </c>
      <c r="AN16">
        <v>1</v>
      </c>
      <c r="AO16" t="s">
        <v>86</v>
      </c>
      <c r="AS16" t="s">
        <v>163</v>
      </c>
      <c r="AT16">
        <v>8.0000000000000002E-3</v>
      </c>
      <c r="AU16" t="s">
        <v>109</v>
      </c>
      <c r="AY16" t="s">
        <v>110</v>
      </c>
      <c r="BB16" t="s">
        <v>111</v>
      </c>
    </row>
    <row r="17" spans="1:54">
      <c r="A17" t="s">
        <v>82</v>
      </c>
      <c r="B17" t="s">
        <v>83</v>
      </c>
      <c r="E17" t="s">
        <v>84</v>
      </c>
      <c r="F17" t="s">
        <v>82</v>
      </c>
      <c r="J17" t="s">
        <v>85</v>
      </c>
      <c r="K17" t="s">
        <v>86</v>
      </c>
      <c r="L17" t="s">
        <v>130</v>
      </c>
      <c r="M17" t="s">
        <v>88</v>
      </c>
      <c r="N17" t="s">
        <v>89</v>
      </c>
      <c r="O17" t="s">
        <v>90</v>
      </c>
      <c r="P17" t="s">
        <v>91</v>
      </c>
      <c r="Q17" t="s">
        <v>164</v>
      </c>
      <c r="R17" t="s">
        <v>165</v>
      </c>
      <c r="S17" t="s">
        <v>94</v>
      </c>
      <c r="T17" t="s">
        <v>95</v>
      </c>
      <c r="U17" t="s">
        <v>96</v>
      </c>
      <c r="V17" t="s">
        <v>166</v>
      </c>
      <c r="W17" t="s">
        <v>167</v>
      </c>
      <c r="X17" t="s">
        <v>99</v>
      </c>
      <c r="Y17" t="s">
        <v>100</v>
      </c>
      <c r="Z17" t="s">
        <v>101</v>
      </c>
      <c r="AB17" t="s">
        <v>101</v>
      </c>
      <c r="AC17" t="s">
        <v>102</v>
      </c>
      <c r="AD17" t="s">
        <v>103</v>
      </c>
      <c r="AE17" t="s">
        <v>104</v>
      </c>
      <c r="AF17" t="s">
        <v>96</v>
      </c>
      <c r="AG17">
        <v>1.418752</v>
      </c>
      <c r="AH17" t="s">
        <v>105</v>
      </c>
      <c r="AI17" t="s">
        <v>106</v>
      </c>
      <c r="AJ17" t="s">
        <v>107</v>
      </c>
      <c r="AK17" t="s">
        <v>107</v>
      </c>
      <c r="AL17">
        <v>0.354688</v>
      </c>
      <c r="AM17">
        <v>0.354688</v>
      </c>
      <c r="AN17">
        <v>1</v>
      </c>
      <c r="AO17" t="s">
        <v>86</v>
      </c>
      <c r="AS17" t="s">
        <v>117</v>
      </c>
      <c r="AT17">
        <v>0.25</v>
      </c>
      <c r="AU17" t="s">
        <v>109</v>
      </c>
      <c r="AY17" t="s">
        <v>110</v>
      </c>
      <c r="BB17" t="s">
        <v>111</v>
      </c>
    </row>
    <row r="18" spans="1:54">
      <c r="A18" t="s">
        <v>82</v>
      </c>
      <c r="B18" t="s">
        <v>83</v>
      </c>
      <c r="E18" t="s">
        <v>84</v>
      </c>
      <c r="F18" t="s">
        <v>82</v>
      </c>
      <c r="J18" t="s">
        <v>85</v>
      </c>
      <c r="K18" t="s">
        <v>86</v>
      </c>
      <c r="L18" t="s">
        <v>130</v>
      </c>
      <c r="M18" t="s">
        <v>88</v>
      </c>
      <c r="N18" t="s">
        <v>89</v>
      </c>
      <c r="O18" t="s">
        <v>90</v>
      </c>
      <c r="P18" t="s">
        <v>91</v>
      </c>
      <c r="Q18" t="s">
        <v>137</v>
      </c>
      <c r="R18" t="s">
        <v>138</v>
      </c>
      <c r="S18" t="s">
        <v>94</v>
      </c>
      <c r="T18" t="s">
        <v>95</v>
      </c>
      <c r="U18" t="s">
        <v>96</v>
      </c>
      <c r="V18" t="s">
        <v>139</v>
      </c>
      <c r="W18" t="s">
        <v>140</v>
      </c>
      <c r="X18" t="s">
        <v>99</v>
      </c>
      <c r="Y18" t="s">
        <v>100</v>
      </c>
      <c r="Z18" t="s">
        <v>101</v>
      </c>
      <c r="AB18" t="s">
        <v>101</v>
      </c>
      <c r="AC18" t="s">
        <v>102</v>
      </c>
      <c r="AD18" t="s">
        <v>103</v>
      </c>
      <c r="AE18" t="s">
        <v>104</v>
      </c>
      <c r="AF18" t="s">
        <v>96</v>
      </c>
      <c r="AG18">
        <v>9.6141000000000004E-2</v>
      </c>
      <c r="AH18" t="s">
        <v>105</v>
      </c>
      <c r="AI18" t="s">
        <v>106</v>
      </c>
      <c r="AJ18" t="s">
        <v>107</v>
      </c>
      <c r="AK18" t="s">
        <v>107</v>
      </c>
      <c r="AL18">
        <v>0.43263449999999998</v>
      </c>
      <c r="AM18">
        <v>0.43263449999999998</v>
      </c>
      <c r="AN18">
        <v>1</v>
      </c>
      <c r="AO18" t="s">
        <v>86</v>
      </c>
      <c r="AS18" t="s">
        <v>141</v>
      </c>
      <c r="AT18">
        <v>4.5</v>
      </c>
      <c r="AU18" t="s">
        <v>109</v>
      </c>
      <c r="AY18" t="s">
        <v>110</v>
      </c>
      <c r="BB18" t="s">
        <v>111</v>
      </c>
    </row>
    <row r="19" spans="1:54">
      <c r="A19" t="s">
        <v>82</v>
      </c>
      <c r="B19" t="s">
        <v>83</v>
      </c>
      <c r="E19" t="s">
        <v>84</v>
      </c>
      <c r="F19" t="s">
        <v>82</v>
      </c>
      <c r="J19" t="s">
        <v>85</v>
      </c>
      <c r="K19" t="s">
        <v>86</v>
      </c>
      <c r="L19" t="s">
        <v>130</v>
      </c>
      <c r="M19" t="s">
        <v>88</v>
      </c>
      <c r="N19" t="s">
        <v>89</v>
      </c>
      <c r="O19" t="s">
        <v>90</v>
      </c>
      <c r="P19" t="s">
        <v>91</v>
      </c>
      <c r="Q19" t="s">
        <v>168</v>
      </c>
      <c r="R19" t="s">
        <v>169</v>
      </c>
      <c r="S19" t="s">
        <v>94</v>
      </c>
      <c r="T19" t="s">
        <v>95</v>
      </c>
      <c r="U19" t="s">
        <v>96</v>
      </c>
      <c r="V19" t="s">
        <v>170</v>
      </c>
      <c r="W19" t="s">
        <v>171</v>
      </c>
      <c r="X19" t="s">
        <v>99</v>
      </c>
      <c r="Y19" t="s">
        <v>100</v>
      </c>
      <c r="Z19" t="s">
        <v>101</v>
      </c>
      <c r="AB19" t="s">
        <v>101</v>
      </c>
      <c r="AC19" t="s">
        <v>102</v>
      </c>
      <c r="AD19" t="s">
        <v>103</v>
      </c>
      <c r="AE19" t="s">
        <v>104</v>
      </c>
      <c r="AF19" t="s">
        <v>96</v>
      </c>
      <c r="AG19">
        <v>13.646592</v>
      </c>
      <c r="AH19" t="s">
        <v>105</v>
      </c>
      <c r="AI19" t="s">
        <v>106</v>
      </c>
      <c r="AJ19" t="s">
        <v>107</v>
      </c>
      <c r="AK19" t="s">
        <v>107</v>
      </c>
      <c r="AL19">
        <v>1.0234943999999999</v>
      </c>
      <c r="AM19">
        <v>1.0234943999999999</v>
      </c>
      <c r="AN19">
        <v>1</v>
      </c>
      <c r="AO19" t="s">
        <v>86</v>
      </c>
      <c r="AS19" t="s">
        <v>141</v>
      </c>
      <c r="AT19">
        <v>7.4999999999999997E-2</v>
      </c>
      <c r="AU19" t="s">
        <v>109</v>
      </c>
      <c r="AY19" t="s">
        <v>110</v>
      </c>
      <c r="BB19" t="s">
        <v>111</v>
      </c>
    </row>
    <row r="20" spans="1:54">
      <c r="A20" t="s">
        <v>82</v>
      </c>
      <c r="B20" t="s">
        <v>83</v>
      </c>
      <c r="E20" t="s">
        <v>84</v>
      </c>
      <c r="F20" t="s">
        <v>82</v>
      </c>
      <c r="J20" t="s">
        <v>85</v>
      </c>
      <c r="K20" t="s">
        <v>86</v>
      </c>
      <c r="L20" t="s">
        <v>112</v>
      </c>
      <c r="M20" t="s">
        <v>88</v>
      </c>
      <c r="N20" t="s">
        <v>89</v>
      </c>
      <c r="O20" t="s">
        <v>90</v>
      </c>
      <c r="P20" t="s">
        <v>91</v>
      </c>
      <c r="Q20" t="s">
        <v>159</v>
      </c>
      <c r="R20" t="s">
        <v>160</v>
      </c>
      <c r="S20" t="s">
        <v>94</v>
      </c>
      <c r="T20" t="s">
        <v>120</v>
      </c>
      <c r="U20" t="s">
        <v>96</v>
      </c>
      <c r="V20" t="s">
        <v>161</v>
      </c>
      <c r="W20" t="s">
        <v>162</v>
      </c>
      <c r="X20" t="s">
        <v>99</v>
      </c>
      <c r="Y20" t="s">
        <v>100</v>
      </c>
      <c r="Z20" t="s">
        <v>101</v>
      </c>
      <c r="AB20" t="s">
        <v>101</v>
      </c>
      <c r="AC20" t="s">
        <v>102</v>
      </c>
      <c r="AD20" t="s">
        <v>103</v>
      </c>
      <c r="AE20" t="s">
        <v>104</v>
      </c>
      <c r="AF20" t="s">
        <v>96</v>
      </c>
      <c r="AG20">
        <v>2.8000000000000001E-2</v>
      </c>
      <c r="AH20" t="s">
        <v>123</v>
      </c>
      <c r="AI20" t="s">
        <v>106</v>
      </c>
      <c r="AJ20" t="s">
        <v>107</v>
      </c>
      <c r="AK20" t="s">
        <v>107</v>
      </c>
      <c r="AL20">
        <v>2.24E-4</v>
      </c>
      <c r="AM20">
        <v>2.24E-4</v>
      </c>
      <c r="AN20">
        <v>1</v>
      </c>
      <c r="AO20" t="s">
        <v>86</v>
      </c>
      <c r="AS20" t="s">
        <v>163</v>
      </c>
      <c r="AT20">
        <v>8.0000000000000002E-3</v>
      </c>
      <c r="AU20" t="s">
        <v>109</v>
      </c>
      <c r="AY20" t="s">
        <v>110</v>
      </c>
      <c r="BB20" t="s">
        <v>111</v>
      </c>
    </row>
    <row r="21" spans="1:54">
      <c r="A21" t="s">
        <v>82</v>
      </c>
      <c r="B21" t="s">
        <v>83</v>
      </c>
      <c r="E21" t="s">
        <v>84</v>
      </c>
      <c r="F21" t="s">
        <v>82</v>
      </c>
      <c r="J21" t="s">
        <v>85</v>
      </c>
      <c r="K21" t="s">
        <v>86</v>
      </c>
      <c r="L21" t="s">
        <v>112</v>
      </c>
      <c r="M21" t="s">
        <v>88</v>
      </c>
      <c r="N21" t="s">
        <v>89</v>
      </c>
      <c r="O21" t="s">
        <v>90</v>
      </c>
      <c r="P21" t="s">
        <v>91</v>
      </c>
      <c r="Q21" t="s">
        <v>172</v>
      </c>
      <c r="R21" t="s">
        <v>173</v>
      </c>
      <c r="S21" t="s">
        <v>94</v>
      </c>
      <c r="T21" t="s">
        <v>95</v>
      </c>
      <c r="U21" t="s">
        <v>96</v>
      </c>
      <c r="V21" t="s">
        <v>174</v>
      </c>
      <c r="W21" t="s">
        <v>175</v>
      </c>
      <c r="X21" t="s">
        <v>99</v>
      </c>
      <c r="Y21" t="s">
        <v>100</v>
      </c>
      <c r="Z21" t="s">
        <v>101</v>
      </c>
      <c r="AB21" t="s">
        <v>101</v>
      </c>
      <c r="AC21" t="s">
        <v>102</v>
      </c>
      <c r="AD21" t="s">
        <v>103</v>
      </c>
      <c r="AE21" t="s">
        <v>104</v>
      </c>
      <c r="AF21" t="s">
        <v>96</v>
      </c>
      <c r="AG21">
        <v>2.0000000000000002E-5</v>
      </c>
      <c r="AH21" t="s">
        <v>105</v>
      </c>
      <c r="AI21" t="s">
        <v>106</v>
      </c>
      <c r="AJ21" t="s">
        <v>107</v>
      </c>
      <c r="AK21" t="s">
        <v>107</v>
      </c>
      <c r="AL21">
        <v>3.4999999999999997E-5</v>
      </c>
      <c r="AM21">
        <v>3.4999999999999997E-5</v>
      </c>
      <c r="AN21">
        <v>1</v>
      </c>
      <c r="AO21" t="s">
        <v>86</v>
      </c>
      <c r="AS21" t="s">
        <v>158</v>
      </c>
      <c r="AT21">
        <v>1.75</v>
      </c>
      <c r="AU21" t="s">
        <v>109</v>
      </c>
      <c r="AY21" t="s">
        <v>110</v>
      </c>
      <c r="BB21" t="s">
        <v>111</v>
      </c>
    </row>
    <row r="22" spans="1:54">
      <c r="A22" t="s">
        <v>82</v>
      </c>
      <c r="B22" t="s">
        <v>83</v>
      </c>
      <c r="E22" t="s">
        <v>84</v>
      </c>
      <c r="F22" t="s">
        <v>82</v>
      </c>
      <c r="J22" t="s">
        <v>85</v>
      </c>
      <c r="K22" t="s">
        <v>86</v>
      </c>
      <c r="L22" t="s">
        <v>112</v>
      </c>
      <c r="M22" t="s">
        <v>88</v>
      </c>
      <c r="N22" t="s">
        <v>89</v>
      </c>
      <c r="O22" t="s">
        <v>90</v>
      </c>
      <c r="P22" t="s">
        <v>91</v>
      </c>
      <c r="Q22" t="s">
        <v>150</v>
      </c>
      <c r="R22" t="s">
        <v>151</v>
      </c>
      <c r="S22" t="s">
        <v>94</v>
      </c>
      <c r="T22" t="s">
        <v>120</v>
      </c>
      <c r="U22" t="s">
        <v>96</v>
      </c>
      <c r="V22" t="s">
        <v>152</v>
      </c>
      <c r="W22" t="s">
        <v>153</v>
      </c>
      <c r="X22" t="s">
        <v>99</v>
      </c>
      <c r="Y22" t="s">
        <v>100</v>
      </c>
      <c r="Z22" t="s">
        <v>101</v>
      </c>
      <c r="AB22" t="s">
        <v>101</v>
      </c>
      <c r="AC22" t="s">
        <v>102</v>
      </c>
      <c r="AD22" t="s">
        <v>103</v>
      </c>
      <c r="AE22" t="s">
        <v>104</v>
      </c>
      <c r="AF22" t="s">
        <v>96</v>
      </c>
      <c r="AG22">
        <v>6.0000000000000001E-3</v>
      </c>
      <c r="AH22" t="s">
        <v>123</v>
      </c>
      <c r="AI22" t="s">
        <v>106</v>
      </c>
      <c r="AJ22" t="s">
        <v>107</v>
      </c>
      <c r="AK22" t="s">
        <v>107</v>
      </c>
      <c r="AL22">
        <v>6.0000000000000002E-5</v>
      </c>
      <c r="AM22">
        <v>6.0000000000000002E-5</v>
      </c>
      <c r="AN22">
        <v>1</v>
      </c>
      <c r="AO22" t="s">
        <v>86</v>
      </c>
      <c r="AS22" t="s">
        <v>124</v>
      </c>
      <c r="AT22">
        <v>0.01</v>
      </c>
      <c r="AU22" t="s">
        <v>109</v>
      </c>
      <c r="AY22" t="s">
        <v>110</v>
      </c>
      <c r="BB22" t="s">
        <v>111</v>
      </c>
    </row>
    <row r="23" spans="1:54">
      <c r="A23" t="s">
        <v>82</v>
      </c>
      <c r="B23" t="s">
        <v>83</v>
      </c>
      <c r="E23" t="s">
        <v>84</v>
      </c>
      <c r="F23" t="s">
        <v>82</v>
      </c>
      <c r="J23" t="s">
        <v>85</v>
      </c>
      <c r="K23" t="s">
        <v>86</v>
      </c>
      <c r="L23" t="s">
        <v>87</v>
      </c>
      <c r="M23" t="s">
        <v>88</v>
      </c>
      <c r="N23" t="s">
        <v>89</v>
      </c>
      <c r="O23" t="s">
        <v>90</v>
      </c>
      <c r="P23" t="s">
        <v>91</v>
      </c>
      <c r="Q23" t="s">
        <v>176</v>
      </c>
      <c r="R23" t="s">
        <v>177</v>
      </c>
      <c r="S23" t="s">
        <v>94</v>
      </c>
      <c r="T23" t="s">
        <v>120</v>
      </c>
      <c r="U23" t="s">
        <v>96</v>
      </c>
      <c r="V23" t="s">
        <v>178</v>
      </c>
      <c r="W23" t="s">
        <v>179</v>
      </c>
      <c r="X23" t="s">
        <v>99</v>
      </c>
      <c r="Y23" t="s">
        <v>100</v>
      </c>
      <c r="Z23" t="s">
        <v>101</v>
      </c>
      <c r="AB23" t="s">
        <v>101</v>
      </c>
      <c r="AC23" t="s">
        <v>102</v>
      </c>
      <c r="AD23" t="s">
        <v>103</v>
      </c>
      <c r="AE23" t="s">
        <v>104</v>
      </c>
      <c r="AF23" t="s">
        <v>96</v>
      </c>
      <c r="AG23">
        <v>1.4999999999999999E-2</v>
      </c>
      <c r="AH23" t="s">
        <v>123</v>
      </c>
      <c r="AI23" t="s">
        <v>106</v>
      </c>
      <c r="AJ23" t="s">
        <v>107</v>
      </c>
      <c r="AK23" t="s">
        <v>107</v>
      </c>
      <c r="AL23">
        <v>3.0000000000000001E-5</v>
      </c>
      <c r="AM23">
        <v>3.0000000000000001E-5</v>
      </c>
      <c r="AN23">
        <v>1</v>
      </c>
      <c r="AO23" t="s">
        <v>86</v>
      </c>
      <c r="AS23" t="s">
        <v>163</v>
      </c>
      <c r="AT23">
        <v>2E-3</v>
      </c>
      <c r="AU23" t="s">
        <v>109</v>
      </c>
      <c r="AY23" t="s">
        <v>110</v>
      </c>
      <c r="BB23" t="s">
        <v>111</v>
      </c>
    </row>
    <row r="24" spans="1:54">
      <c r="A24" t="s">
        <v>82</v>
      </c>
      <c r="B24" t="s">
        <v>83</v>
      </c>
      <c r="E24" t="s">
        <v>84</v>
      </c>
      <c r="F24" t="s">
        <v>82</v>
      </c>
      <c r="J24" t="s">
        <v>85</v>
      </c>
      <c r="K24" t="s">
        <v>86</v>
      </c>
      <c r="L24" t="s">
        <v>87</v>
      </c>
      <c r="M24" t="s">
        <v>88</v>
      </c>
      <c r="N24" t="s">
        <v>89</v>
      </c>
      <c r="O24" t="s">
        <v>90</v>
      </c>
      <c r="P24" t="s">
        <v>91</v>
      </c>
      <c r="Q24" t="s">
        <v>113</v>
      </c>
      <c r="R24" t="s">
        <v>114</v>
      </c>
      <c r="S24" t="s">
        <v>94</v>
      </c>
      <c r="T24" t="s">
        <v>95</v>
      </c>
      <c r="U24" t="s">
        <v>96</v>
      </c>
      <c r="V24" t="s">
        <v>115</v>
      </c>
      <c r="W24" t="s">
        <v>116</v>
      </c>
      <c r="X24" t="s">
        <v>99</v>
      </c>
      <c r="Y24" t="s">
        <v>100</v>
      </c>
      <c r="Z24" t="s">
        <v>101</v>
      </c>
      <c r="AB24" t="s">
        <v>101</v>
      </c>
      <c r="AC24" t="s">
        <v>102</v>
      </c>
      <c r="AD24" t="s">
        <v>103</v>
      </c>
      <c r="AE24" t="s">
        <v>104</v>
      </c>
      <c r="AF24" t="s">
        <v>96</v>
      </c>
      <c r="AG24">
        <v>3.2113999999999997E-2</v>
      </c>
      <c r="AH24" t="s">
        <v>105</v>
      </c>
      <c r="AI24" t="s">
        <v>106</v>
      </c>
      <c r="AJ24" t="s">
        <v>107</v>
      </c>
      <c r="AK24" t="s">
        <v>107</v>
      </c>
      <c r="AL24">
        <v>8.0284999999999995E-2</v>
      </c>
      <c r="AM24">
        <v>8.0284999999999995E-2</v>
      </c>
      <c r="AN24">
        <v>1</v>
      </c>
      <c r="AO24" t="s">
        <v>86</v>
      </c>
      <c r="AS24" t="s">
        <v>117</v>
      </c>
      <c r="AT24">
        <v>2.5</v>
      </c>
      <c r="AU24" t="s">
        <v>109</v>
      </c>
      <c r="AY24" t="s">
        <v>110</v>
      </c>
      <c r="BB24" t="s">
        <v>111</v>
      </c>
    </row>
    <row r="25" spans="1:54">
      <c r="A25" t="s">
        <v>82</v>
      </c>
      <c r="B25" t="s">
        <v>83</v>
      </c>
      <c r="E25" t="s">
        <v>84</v>
      </c>
      <c r="F25" t="s">
        <v>82</v>
      </c>
      <c r="J25" t="s">
        <v>85</v>
      </c>
      <c r="K25" t="s">
        <v>86</v>
      </c>
      <c r="L25" t="s">
        <v>87</v>
      </c>
      <c r="M25" t="s">
        <v>88</v>
      </c>
      <c r="N25" t="s">
        <v>89</v>
      </c>
      <c r="O25" t="s">
        <v>90</v>
      </c>
      <c r="P25" t="s">
        <v>91</v>
      </c>
      <c r="Q25" t="s">
        <v>172</v>
      </c>
      <c r="R25" t="s">
        <v>173</v>
      </c>
      <c r="S25" t="s">
        <v>94</v>
      </c>
      <c r="T25" t="s">
        <v>95</v>
      </c>
      <c r="U25" t="s">
        <v>96</v>
      </c>
      <c r="V25" t="s">
        <v>174</v>
      </c>
      <c r="W25" t="s">
        <v>175</v>
      </c>
      <c r="X25" t="s">
        <v>99</v>
      </c>
      <c r="Y25" t="s">
        <v>100</v>
      </c>
      <c r="Z25" t="s">
        <v>101</v>
      </c>
      <c r="AB25" t="s">
        <v>101</v>
      </c>
      <c r="AC25" t="s">
        <v>102</v>
      </c>
      <c r="AD25" t="s">
        <v>103</v>
      </c>
      <c r="AE25" t="s">
        <v>104</v>
      </c>
      <c r="AF25" t="s">
        <v>96</v>
      </c>
      <c r="AG25">
        <v>2.3E-5</v>
      </c>
      <c r="AH25" t="s">
        <v>105</v>
      </c>
      <c r="AI25" t="s">
        <v>106</v>
      </c>
      <c r="AJ25" t="s">
        <v>107</v>
      </c>
      <c r="AK25" t="s">
        <v>107</v>
      </c>
      <c r="AL25">
        <v>4.0250000000000003E-5</v>
      </c>
      <c r="AM25">
        <v>4.0250000000000003E-5</v>
      </c>
      <c r="AN25">
        <v>1</v>
      </c>
      <c r="AO25" t="s">
        <v>86</v>
      </c>
      <c r="AS25" t="s">
        <v>158</v>
      </c>
      <c r="AT25">
        <v>1.75</v>
      </c>
      <c r="AU25" t="s">
        <v>109</v>
      </c>
      <c r="AY25" t="s">
        <v>110</v>
      </c>
      <c r="BB25" t="s">
        <v>111</v>
      </c>
    </row>
    <row r="26" spans="1:54">
      <c r="A26" t="s">
        <v>82</v>
      </c>
      <c r="B26" t="s">
        <v>83</v>
      </c>
      <c r="E26" t="s">
        <v>84</v>
      </c>
      <c r="F26" t="s">
        <v>82</v>
      </c>
      <c r="J26" t="s">
        <v>85</v>
      </c>
      <c r="K26" t="s">
        <v>86</v>
      </c>
      <c r="L26" t="s">
        <v>180</v>
      </c>
      <c r="M26" t="s">
        <v>88</v>
      </c>
      <c r="N26" t="s">
        <v>89</v>
      </c>
      <c r="O26" t="s">
        <v>90</v>
      </c>
      <c r="P26" t="s">
        <v>91</v>
      </c>
      <c r="Q26" t="s">
        <v>113</v>
      </c>
      <c r="R26" t="s">
        <v>114</v>
      </c>
      <c r="S26" t="s">
        <v>94</v>
      </c>
      <c r="T26" t="s">
        <v>95</v>
      </c>
      <c r="U26" t="s">
        <v>96</v>
      </c>
      <c r="V26" t="s">
        <v>115</v>
      </c>
      <c r="W26" t="s">
        <v>116</v>
      </c>
      <c r="X26" t="s">
        <v>99</v>
      </c>
      <c r="Y26" t="s">
        <v>100</v>
      </c>
      <c r="Z26" t="s">
        <v>101</v>
      </c>
      <c r="AB26" t="s">
        <v>101</v>
      </c>
      <c r="AC26" t="s">
        <v>102</v>
      </c>
      <c r="AD26" t="s">
        <v>103</v>
      </c>
      <c r="AE26" t="s">
        <v>104</v>
      </c>
      <c r="AF26" t="s">
        <v>96</v>
      </c>
      <c r="AG26">
        <v>9.215643</v>
      </c>
      <c r="AH26" t="s">
        <v>105</v>
      </c>
      <c r="AI26" t="s">
        <v>106</v>
      </c>
      <c r="AJ26" t="s">
        <v>107</v>
      </c>
      <c r="AK26" t="s">
        <v>107</v>
      </c>
      <c r="AL26">
        <v>23.0391075</v>
      </c>
      <c r="AM26">
        <v>23.0391075</v>
      </c>
      <c r="AN26">
        <v>1</v>
      </c>
      <c r="AO26" t="s">
        <v>86</v>
      </c>
      <c r="AS26" t="s">
        <v>117</v>
      </c>
      <c r="AT26">
        <v>2.5</v>
      </c>
      <c r="AU26" t="s">
        <v>109</v>
      </c>
      <c r="AY26" t="s">
        <v>110</v>
      </c>
      <c r="BB26" t="s">
        <v>111</v>
      </c>
    </row>
    <row r="27" spans="1:54">
      <c r="A27" t="s">
        <v>82</v>
      </c>
      <c r="B27" t="s">
        <v>83</v>
      </c>
      <c r="E27" t="s">
        <v>84</v>
      </c>
      <c r="F27" t="s">
        <v>82</v>
      </c>
      <c r="J27" t="s">
        <v>85</v>
      </c>
      <c r="K27" t="s">
        <v>86</v>
      </c>
      <c r="L27" t="s">
        <v>130</v>
      </c>
      <c r="M27" t="s">
        <v>88</v>
      </c>
      <c r="N27" t="s">
        <v>89</v>
      </c>
      <c r="O27" t="s">
        <v>90</v>
      </c>
      <c r="P27" t="s">
        <v>91</v>
      </c>
      <c r="Q27" t="s">
        <v>176</v>
      </c>
      <c r="R27" t="s">
        <v>177</v>
      </c>
      <c r="S27" t="s">
        <v>94</v>
      </c>
      <c r="T27" t="s">
        <v>120</v>
      </c>
      <c r="U27" t="s">
        <v>96</v>
      </c>
      <c r="V27" t="s">
        <v>178</v>
      </c>
      <c r="W27" t="s">
        <v>179</v>
      </c>
      <c r="X27" t="s">
        <v>99</v>
      </c>
      <c r="Y27" t="s">
        <v>100</v>
      </c>
      <c r="Z27" t="s">
        <v>101</v>
      </c>
      <c r="AB27" t="s">
        <v>101</v>
      </c>
      <c r="AC27" t="s">
        <v>102</v>
      </c>
      <c r="AD27" t="s">
        <v>103</v>
      </c>
      <c r="AE27" t="s">
        <v>104</v>
      </c>
      <c r="AF27" t="s">
        <v>96</v>
      </c>
      <c r="AG27">
        <v>1.4999999999999999E-2</v>
      </c>
      <c r="AH27" t="s">
        <v>123</v>
      </c>
      <c r="AI27" t="s">
        <v>106</v>
      </c>
      <c r="AJ27" t="s">
        <v>107</v>
      </c>
      <c r="AK27" t="s">
        <v>107</v>
      </c>
      <c r="AL27">
        <v>3.0000000000000001E-5</v>
      </c>
      <c r="AM27">
        <v>3.0000000000000001E-5</v>
      </c>
      <c r="AN27">
        <v>1</v>
      </c>
      <c r="AO27" t="s">
        <v>86</v>
      </c>
      <c r="AS27" t="s">
        <v>163</v>
      </c>
      <c r="AT27">
        <v>2E-3</v>
      </c>
      <c r="AU27" t="s">
        <v>109</v>
      </c>
      <c r="AY27" t="s">
        <v>110</v>
      </c>
      <c r="BB27" t="s">
        <v>111</v>
      </c>
    </row>
    <row r="28" spans="1:54">
      <c r="A28" t="s">
        <v>82</v>
      </c>
      <c r="B28" t="s">
        <v>83</v>
      </c>
      <c r="E28" t="s">
        <v>84</v>
      </c>
      <c r="F28" t="s">
        <v>82</v>
      </c>
      <c r="J28" t="s">
        <v>85</v>
      </c>
      <c r="K28" t="s">
        <v>86</v>
      </c>
      <c r="L28" t="s">
        <v>180</v>
      </c>
      <c r="M28" t="s">
        <v>88</v>
      </c>
      <c r="N28" t="s">
        <v>89</v>
      </c>
      <c r="O28" t="s">
        <v>90</v>
      </c>
      <c r="P28" t="s">
        <v>91</v>
      </c>
      <c r="Q28" t="s">
        <v>126</v>
      </c>
      <c r="R28" t="s">
        <v>127</v>
      </c>
      <c r="S28" t="s">
        <v>94</v>
      </c>
      <c r="T28" t="s">
        <v>95</v>
      </c>
      <c r="U28" t="s">
        <v>96</v>
      </c>
      <c r="V28" t="s">
        <v>128</v>
      </c>
      <c r="W28" t="s">
        <v>129</v>
      </c>
      <c r="X28" t="s">
        <v>99</v>
      </c>
      <c r="Y28" t="s">
        <v>100</v>
      </c>
      <c r="Z28" t="s">
        <v>101</v>
      </c>
      <c r="AB28" t="s">
        <v>101</v>
      </c>
      <c r="AC28" t="s">
        <v>102</v>
      </c>
      <c r="AD28" t="s">
        <v>103</v>
      </c>
      <c r="AE28" t="s">
        <v>104</v>
      </c>
      <c r="AF28" t="s">
        <v>96</v>
      </c>
      <c r="AG28">
        <v>0.151563</v>
      </c>
      <c r="AH28" t="s">
        <v>105</v>
      </c>
      <c r="AI28" t="s">
        <v>106</v>
      </c>
      <c r="AJ28" t="s">
        <v>107</v>
      </c>
      <c r="AK28" t="s">
        <v>107</v>
      </c>
      <c r="AL28">
        <v>2.2734450000000002</v>
      </c>
      <c r="AM28">
        <v>2.2734450000000002</v>
      </c>
      <c r="AN28">
        <v>1</v>
      </c>
      <c r="AO28" t="s">
        <v>86</v>
      </c>
      <c r="AS28" t="s">
        <v>117</v>
      </c>
      <c r="AT28">
        <v>15</v>
      </c>
      <c r="AU28" t="s">
        <v>109</v>
      </c>
      <c r="AY28" t="s">
        <v>110</v>
      </c>
      <c r="BB28" t="s">
        <v>111</v>
      </c>
    </row>
    <row r="29" spans="1:54">
      <c r="A29" t="s">
        <v>82</v>
      </c>
      <c r="B29" t="s">
        <v>83</v>
      </c>
      <c r="E29" t="s">
        <v>84</v>
      </c>
      <c r="F29" t="s">
        <v>82</v>
      </c>
      <c r="J29" t="s">
        <v>85</v>
      </c>
      <c r="K29" t="s">
        <v>86</v>
      </c>
      <c r="L29" t="s">
        <v>112</v>
      </c>
      <c r="M29" t="s">
        <v>88</v>
      </c>
      <c r="N29" t="s">
        <v>89</v>
      </c>
      <c r="O29" t="s">
        <v>90</v>
      </c>
      <c r="P29" t="s">
        <v>91</v>
      </c>
      <c r="Q29" t="s">
        <v>92</v>
      </c>
      <c r="R29" t="s">
        <v>93</v>
      </c>
      <c r="S29" t="s">
        <v>94</v>
      </c>
      <c r="T29" t="s">
        <v>95</v>
      </c>
      <c r="U29" t="s">
        <v>96</v>
      </c>
      <c r="V29" t="s">
        <v>97</v>
      </c>
      <c r="W29" t="s">
        <v>98</v>
      </c>
      <c r="X29" t="s">
        <v>99</v>
      </c>
      <c r="Y29" t="s">
        <v>100</v>
      </c>
      <c r="Z29" t="s">
        <v>101</v>
      </c>
      <c r="AB29" t="s">
        <v>101</v>
      </c>
      <c r="AC29" t="s">
        <v>102</v>
      </c>
      <c r="AD29" t="s">
        <v>103</v>
      </c>
      <c r="AE29" t="s">
        <v>104</v>
      </c>
      <c r="AF29" t="s">
        <v>96</v>
      </c>
      <c r="AG29">
        <v>3.1999999999999999E-5</v>
      </c>
      <c r="AH29" t="s">
        <v>105</v>
      </c>
      <c r="AI29" t="s">
        <v>106</v>
      </c>
      <c r="AJ29" t="s">
        <v>107</v>
      </c>
      <c r="AK29" t="s">
        <v>107</v>
      </c>
      <c r="AL29">
        <v>3.2000000000000003E-4</v>
      </c>
      <c r="AM29">
        <v>3.2000000000000003E-4</v>
      </c>
      <c r="AN29">
        <v>1</v>
      </c>
      <c r="AO29" t="s">
        <v>86</v>
      </c>
      <c r="AS29" t="s">
        <v>108</v>
      </c>
      <c r="AT29">
        <v>10</v>
      </c>
      <c r="AU29" t="s">
        <v>109</v>
      </c>
      <c r="AY29" t="s">
        <v>110</v>
      </c>
      <c r="BB29" t="s">
        <v>111</v>
      </c>
    </row>
    <row r="30" spans="1:54">
      <c r="A30" t="s">
        <v>82</v>
      </c>
      <c r="B30" t="s">
        <v>83</v>
      </c>
      <c r="E30" t="s">
        <v>84</v>
      </c>
      <c r="F30" t="s">
        <v>82</v>
      </c>
      <c r="J30" t="s">
        <v>85</v>
      </c>
      <c r="K30" t="s">
        <v>86</v>
      </c>
      <c r="L30" t="s">
        <v>112</v>
      </c>
      <c r="M30" t="s">
        <v>88</v>
      </c>
      <c r="N30" t="s">
        <v>89</v>
      </c>
      <c r="O30" t="s">
        <v>90</v>
      </c>
      <c r="P30" t="s">
        <v>91</v>
      </c>
      <c r="Q30" t="s">
        <v>176</v>
      </c>
      <c r="R30" t="s">
        <v>177</v>
      </c>
      <c r="S30" t="s">
        <v>94</v>
      </c>
      <c r="T30" t="s">
        <v>120</v>
      </c>
      <c r="U30" t="s">
        <v>96</v>
      </c>
      <c r="V30" t="s">
        <v>178</v>
      </c>
      <c r="W30" t="s">
        <v>179</v>
      </c>
      <c r="X30" t="s">
        <v>99</v>
      </c>
      <c r="Y30" t="s">
        <v>100</v>
      </c>
      <c r="Z30" t="s">
        <v>101</v>
      </c>
      <c r="AB30" t="s">
        <v>101</v>
      </c>
      <c r="AC30" t="s">
        <v>102</v>
      </c>
      <c r="AD30" t="s">
        <v>103</v>
      </c>
      <c r="AE30" t="s">
        <v>104</v>
      </c>
      <c r="AF30" t="s">
        <v>96</v>
      </c>
      <c r="AG30">
        <v>7.8999999999999904E-2</v>
      </c>
      <c r="AH30" t="s">
        <v>123</v>
      </c>
      <c r="AI30" t="s">
        <v>106</v>
      </c>
      <c r="AJ30" t="s">
        <v>107</v>
      </c>
      <c r="AK30" t="s">
        <v>107</v>
      </c>
      <c r="AL30">
        <v>1.5799999999999999E-4</v>
      </c>
      <c r="AM30">
        <v>1.5799999999999999E-4</v>
      </c>
      <c r="AN30">
        <v>1</v>
      </c>
      <c r="AO30" t="s">
        <v>86</v>
      </c>
      <c r="AS30" t="s">
        <v>163</v>
      </c>
      <c r="AT30">
        <v>2E-3</v>
      </c>
      <c r="AU30" t="s">
        <v>109</v>
      </c>
      <c r="AY30" t="s">
        <v>110</v>
      </c>
      <c r="BB30" t="s">
        <v>111</v>
      </c>
    </row>
    <row r="31" spans="1:54">
      <c r="A31" t="s">
        <v>82</v>
      </c>
      <c r="B31" t="s">
        <v>83</v>
      </c>
      <c r="E31" t="s">
        <v>84</v>
      </c>
      <c r="F31" t="s">
        <v>82</v>
      </c>
      <c r="J31" t="s">
        <v>85</v>
      </c>
      <c r="K31" t="s">
        <v>86</v>
      </c>
      <c r="L31" t="s">
        <v>125</v>
      </c>
      <c r="M31" t="s">
        <v>88</v>
      </c>
      <c r="N31" t="s">
        <v>89</v>
      </c>
      <c r="O31" t="s">
        <v>90</v>
      </c>
      <c r="P31" t="s">
        <v>91</v>
      </c>
      <c r="Q31" t="s">
        <v>164</v>
      </c>
      <c r="R31" t="s">
        <v>165</v>
      </c>
      <c r="S31" t="s">
        <v>94</v>
      </c>
      <c r="T31" t="s">
        <v>95</v>
      </c>
      <c r="U31" t="s">
        <v>96</v>
      </c>
      <c r="V31" t="s">
        <v>166</v>
      </c>
      <c r="W31" t="s">
        <v>167</v>
      </c>
      <c r="X31" t="s">
        <v>99</v>
      </c>
      <c r="Y31" t="s">
        <v>100</v>
      </c>
      <c r="Z31" t="s">
        <v>101</v>
      </c>
      <c r="AB31" t="s">
        <v>101</v>
      </c>
      <c r="AC31" t="s">
        <v>102</v>
      </c>
      <c r="AD31" t="s">
        <v>103</v>
      </c>
      <c r="AE31" t="s">
        <v>104</v>
      </c>
      <c r="AF31" t="s">
        <v>96</v>
      </c>
      <c r="AG31">
        <v>9.0126080000000002</v>
      </c>
      <c r="AH31" t="s">
        <v>105</v>
      </c>
      <c r="AI31" t="s">
        <v>106</v>
      </c>
      <c r="AJ31" t="s">
        <v>107</v>
      </c>
      <c r="AK31" t="s">
        <v>107</v>
      </c>
      <c r="AL31">
        <v>2.253152</v>
      </c>
      <c r="AM31">
        <v>2.253152</v>
      </c>
      <c r="AN31">
        <v>1</v>
      </c>
      <c r="AO31" t="s">
        <v>86</v>
      </c>
      <c r="AS31" t="s">
        <v>117</v>
      </c>
      <c r="AT31">
        <v>0.25</v>
      </c>
      <c r="AU31" t="s">
        <v>109</v>
      </c>
      <c r="AY31" t="s">
        <v>110</v>
      </c>
      <c r="BB31" t="s">
        <v>111</v>
      </c>
    </row>
    <row r="32" spans="1:54">
      <c r="A32" t="s">
        <v>82</v>
      </c>
      <c r="B32" t="s">
        <v>83</v>
      </c>
      <c r="E32" t="s">
        <v>84</v>
      </c>
      <c r="F32" t="s">
        <v>82</v>
      </c>
      <c r="J32" t="s">
        <v>85</v>
      </c>
      <c r="K32" t="s">
        <v>86</v>
      </c>
      <c r="L32" t="s">
        <v>87</v>
      </c>
      <c r="M32" t="s">
        <v>88</v>
      </c>
      <c r="N32" t="s">
        <v>89</v>
      </c>
      <c r="O32" t="s">
        <v>90</v>
      </c>
      <c r="P32" t="s">
        <v>91</v>
      </c>
      <c r="Q32" t="s">
        <v>146</v>
      </c>
      <c r="R32" t="s">
        <v>147</v>
      </c>
      <c r="S32" t="s">
        <v>94</v>
      </c>
      <c r="T32" t="s">
        <v>95</v>
      </c>
      <c r="U32" t="s">
        <v>96</v>
      </c>
      <c r="V32" t="s">
        <v>148</v>
      </c>
      <c r="W32" t="s">
        <v>149</v>
      </c>
      <c r="X32" t="s">
        <v>99</v>
      </c>
      <c r="Y32" t="s">
        <v>100</v>
      </c>
      <c r="Z32" t="s">
        <v>101</v>
      </c>
      <c r="AB32" t="s">
        <v>101</v>
      </c>
      <c r="AC32" t="s">
        <v>102</v>
      </c>
      <c r="AD32" t="s">
        <v>103</v>
      </c>
      <c r="AE32" t="s">
        <v>104</v>
      </c>
      <c r="AF32" t="s">
        <v>96</v>
      </c>
      <c r="AG32">
        <v>2.8E-5</v>
      </c>
      <c r="AH32" t="s">
        <v>105</v>
      </c>
      <c r="AI32" t="s">
        <v>106</v>
      </c>
      <c r="AJ32" t="s">
        <v>107</v>
      </c>
      <c r="AK32" t="s">
        <v>107</v>
      </c>
      <c r="AL32">
        <v>1.3999999999999999E-6</v>
      </c>
      <c r="AM32">
        <v>1.3999999999999999E-6</v>
      </c>
      <c r="AN32">
        <v>1</v>
      </c>
      <c r="AO32" t="s">
        <v>86</v>
      </c>
      <c r="AS32" t="s">
        <v>135</v>
      </c>
      <c r="AT32">
        <v>0.05</v>
      </c>
      <c r="AU32" t="s">
        <v>109</v>
      </c>
      <c r="AY32" t="s">
        <v>110</v>
      </c>
      <c r="BB32" t="s">
        <v>111</v>
      </c>
    </row>
    <row r="33" spans="1:54">
      <c r="A33" t="s">
        <v>82</v>
      </c>
      <c r="B33" t="s">
        <v>83</v>
      </c>
      <c r="E33" t="s">
        <v>84</v>
      </c>
      <c r="F33" t="s">
        <v>82</v>
      </c>
      <c r="J33" t="s">
        <v>85</v>
      </c>
      <c r="K33" t="s">
        <v>86</v>
      </c>
      <c r="L33" t="s">
        <v>130</v>
      </c>
      <c r="M33" t="s">
        <v>88</v>
      </c>
      <c r="N33" t="s">
        <v>89</v>
      </c>
      <c r="O33" t="s">
        <v>90</v>
      </c>
      <c r="P33" t="s">
        <v>91</v>
      </c>
      <c r="Q33" t="s">
        <v>126</v>
      </c>
      <c r="R33" t="s">
        <v>127</v>
      </c>
      <c r="S33" t="s">
        <v>94</v>
      </c>
      <c r="T33" t="s">
        <v>95</v>
      </c>
      <c r="U33" t="s">
        <v>96</v>
      </c>
      <c r="V33" t="s">
        <v>128</v>
      </c>
      <c r="W33" t="s">
        <v>129</v>
      </c>
      <c r="X33" t="s">
        <v>99</v>
      </c>
      <c r="Y33" t="s">
        <v>100</v>
      </c>
      <c r="Z33" t="s">
        <v>101</v>
      </c>
      <c r="AB33" t="s">
        <v>101</v>
      </c>
      <c r="AC33" t="s">
        <v>102</v>
      </c>
      <c r="AD33" t="s">
        <v>103</v>
      </c>
      <c r="AE33" t="s">
        <v>104</v>
      </c>
      <c r="AF33" t="s">
        <v>96</v>
      </c>
      <c r="AG33">
        <v>2.0021000000000001E-2</v>
      </c>
      <c r="AH33" t="s">
        <v>105</v>
      </c>
      <c r="AI33" t="s">
        <v>106</v>
      </c>
      <c r="AJ33" t="s">
        <v>107</v>
      </c>
      <c r="AK33" t="s">
        <v>107</v>
      </c>
      <c r="AL33">
        <v>0.300315</v>
      </c>
      <c r="AM33">
        <v>0.300315</v>
      </c>
      <c r="AN33">
        <v>1</v>
      </c>
      <c r="AO33" t="s">
        <v>86</v>
      </c>
      <c r="AS33" t="s">
        <v>117</v>
      </c>
      <c r="AT33">
        <v>15</v>
      </c>
      <c r="AU33" t="s">
        <v>109</v>
      </c>
      <c r="AY33" t="s">
        <v>110</v>
      </c>
      <c r="BB33" t="s">
        <v>111</v>
      </c>
    </row>
    <row r="34" spans="1:54">
      <c r="A34" t="s">
        <v>82</v>
      </c>
      <c r="B34" t="s">
        <v>83</v>
      </c>
      <c r="E34" t="s">
        <v>84</v>
      </c>
      <c r="F34" t="s">
        <v>82</v>
      </c>
      <c r="J34" t="s">
        <v>85</v>
      </c>
      <c r="K34" t="s">
        <v>86</v>
      </c>
      <c r="L34" t="s">
        <v>87</v>
      </c>
      <c r="M34" t="s">
        <v>88</v>
      </c>
      <c r="N34" t="s">
        <v>89</v>
      </c>
      <c r="O34" t="s">
        <v>90</v>
      </c>
      <c r="P34" t="s">
        <v>91</v>
      </c>
      <c r="Q34" t="s">
        <v>164</v>
      </c>
      <c r="R34" t="s">
        <v>165</v>
      </c>
      <c r="S34" t="s">
        <v>94</v>
      </c>
      <c r="T34" t="s">
        <v>95</v>
      </c>
      <c r="U34" t="s">
        <v>96</v>
      </c>
      <c r="V34" t="s">
        <v>166</v>
      </c>
      <c r="W34" t="s">
        <v>167</v>
      </c>
      <c r="X34" t="s">
        <v>99</v>
      </c>
      <c r="Y34" t="s">
        <v>100</v>
      </c>
      <c r="Z34" t="s">
        <v>101</v>
      </c>
      <c r="AB34" t="s">
        <v>101</v>
      </c>
      <c r="AC34" t="s">
        <v>102</v>
      </c>
      <c r="AD34" t="s">
        <v>103</v>
      </c>
      <c r="AE34" t="s">
        <v>104</v>
      </c>
      <c r="AF34" t="s">
        <v>96</v>
      </c>
      <c r="AG34">
        <v>1.4976E-2</v>
      </c>
      <c r="AH34" t="s">
        <v>105</v>
      </c>
      <c r="AI34" t="s">
        <v>106</v>
      </c>
      <c r="AJ34" t="s">
        <v>107</v>
      </c>
      <c r="AK34" t="s">
        <v>107</v>
      </c>
      <c r="AL34">
        <v>3.7439999999999999E-3</v>
      </c>
      <c r="AM34">
        <v>3.7439999999999999E-3</v>
      </c>
      <c r="AN34">
        <v>1</v>
      </c>
      <c r="AO34" t="s">
        <v>86</v>
      </c>
      <c r="AS34" t="s">
        <v>117</v>
      </c>
      <c r="AT34">
        <v>0.25</v>
      </c>
      <c r="AU34" t="s">
        <v>109</v>
      </c>
      <c r="AY34" t="s">
        <v>110</v>
      </c>
      <c r="BB34" t="s">
        <v>111</v>
      </c>
    </row>
    <row r="35" spans="1:54">
      <c r="A35" t="s">
        <v>82</v>
      </c>
      <c r="B35" t="s">
        <v>83</v>
      </c>
      <c r="E35" t="s">
        <v>84</v>
      </c>
      <c r="F35" t="s">
        <v>82</v>
      </c>
      <c r="J35" t="s">
        <v>85</v>
      </c>
      <c r="K35" t="s">
        <v>86</v>
      </c>
      <c r="L35" t="s">
        <v>130</v>
      </c>
      <c r="M35" t="s">
        <v>181</v>
      </c>
      <c r="N35" t="s">
        <v>89</v>
      </c>
      <c r="O35" t="s">
        <v>90</v>
      </c>
      <c r="P35" t="s">
        <v>91</v>
      </c>
      <c r="Q35" t="s">
        <v>182</v>
      </c>
      <c r="R35" t="s">
        <v>183</v>
      </c>
      <c r="S35" t="s">
        <v>184</v>
      </c>
      <c r="T35" t="s">
        <v>185</v>
      </c>
      <c r="U35" t="s">
        <v>186</v>
      </c>
      <c r="V35" t="s">
        <v>187</v>
      </c>
      <c r="W35" t="s">
        <v>188</v>
      </c>
      <c r="X35" t="s">
        <v>99</v>
      </c>
      <c r="Y35" t="s">
        <v>100</v>
      </c>
      <c r="Z35" t="s">
        <v>101</v>
      </c>
      <c r="AB35" t="s">
        <v>101</v>
      </c>
      <c r="AC35" t="s">
        <v>102</v>
      </c>
      <c r="AD35" t="s">
        <v>103</v>
      </c>
      <c r="AE35" t="s">
        <v>189</v>
      </c>
      <c r="AF35" t="s">
        <v>189</v>
      </c>
      <c r="AG35">
        <v>4.0000000000000001E-3</v>
      </c>
      <c r="AH35" t="s">
        <v>123</v>
      </c>
      <c r="AI35" t="s">
        <v>106</v>
      </c>
      <c r="AJ35" t="s">
        <v>107</v>
      </c>
      <c r="AK35" t="s">
        <v>107</v>
      </c>
      <c r="AL35">
        <v>5.6000000000000001E-2</v>
      </c>
      <c r="AM35">
        <v>5.6000000000000001E-2</v>
      </c>
      <c r="AN35">
        <v>1</v>
      </c>
      <c r="AO35" t="s">
        <v>86</v>
      </c>
      <c r="AT35">
        <v>14</v>
      </c>
      <c r="AU35" t="s">
        <v>109</v>
      </c>
      <c r="AY35" t="s">
        <v>110</v>
      </c>
      <c r="BB35" t="s">
        <v>111</v>
      </c>
    </row>
    <row r="36" spans="1:54">
      <c r="A36" t="s">
        <v>82</v>
      </c>
      <c r="B36" t="s">
        <v>83</v>
      </c>
      <c r="E36" t="s">
        <v>84</v>
      </c>
      <c r="F36" t="s">
        <v>82</v>
      </c>
      <c r="J36" t="s">
        <v>85</v>
      </c>
      <c r="K36" t="s">
        <v>86</v>
      </c>
      <c r="L36" t="s">
        <v>125</v>
      </c>
      <c r="M36" t="s">
        <v>88</v>
      </c>
      <c r="N36" t="s">
        <v>89</v>
      </c>
      <c r="O36" t="s">
        <v>90</v>
      </c>
      <c r="P36" t="s">
        <v>91</v>
      </c>
      <c r="Q36" t="s">
        <v>190</v>
      </c>
      <c r="R36" t="s">
        <v>191</v>
      </c>
      <c r="S36" t="s">
        <v>94</v>
      </c>
      <c r="T36" t="s">
        <v>95</v>
      </c>
      <c r="U36" t="s">
        <v>96</v>
      </c>
      <c r="V36" t="s">
        <v>192</v>
      </c>
      <c r="W36" t="s">
        <v>193</v>
      </c>
      <c r="X36" t="s">
        <v>99</v>
      </c>
      <c r="Y36" t="s">
        <v>100</v>
      </c>
      <c r="Z36" t="s">
        <v>101</v>
      </c>
      <c r="AB36" t="s">
        <v>101</v>
      </c>
      <c r="AC36" t="s">
        <v>102</v>
      </c>
      <c r="AD36" t="s">
        <v>103</v>
      </c>
      <c r="AE36" t="s">
        <v>104</v>
      </c>
      <c r="AF36" t="s">
        <v>96</v>
      </c>
      <c r="AG36">
        <v>11.819069000000001</v>
      </c>
      <c r="AH36" t="s">
        <v>105</v>
      </c>
      <c r="AI36" t="s">
        <v>106</v>
      </c>
      <c r="AJ36" t="s">
        <v>107</v>
      </c>
      <c r="AK36" t="s">
        <v>107</v>
      </c>
      <c r="AL36">
        <v>59.095345000000002</v>
      </c>
      <c r="AM36">
        <v>59.095345000000002</v>
      </c>
      <c r="AN36">
        <v>1</v>
      </c>
      <c r="AO36" t="s">
        <v>86</v>
      </c>
      <c r="AS36" t="s">
        <v>117</v>
      </c>
      <c r="AT36">
        <v>5</v>
      </c>
      <c r="AU36" t="s">
        <v>109</v>
      </c>
      <c r="AY36" t="s">
        <v>110</v>
      </c>
      <c r="BB36" t="s">
        <v>111</v>
      </c>
    </row>
    <row r="37" spans="1:54">
      <c r="A37" t="s">
        <v>82</v>
      </c>
      <c r="B37" t="s">
        <v>83</v>
      </c>
      <c r="E37" t="s">
        <v>84</v>
      </c>
      <c r="F37" t="s">
        <v>82</v>
      </c>
      <c r="J37" t="s">
        <v>85</v>
      </c>
      <c r="K37" t="s">
        <v>86</v>
      </c>
      <c r="L37" t="s">
        <v>125</v>
      </c>
      <c r="M37" t="s">
        <v>88</v>
      </c>
      <c r="N37" t="s">
        <v>89</v>
      </c>
      <c r="O37" t="s">
        <v>90</v>
      </c>
      <c r="P37" t="s">
        <v>91</v>
      </c>
      <c r="Q37" t="s">
        <v>194</v>
      </c>
      <c r="R37" t="s">
        <v>195</v>
      </c>
      <c r="S37" t="s">
        <v>94</v>
      </c>
      <c r="T37" t="s">
        <v>95</v>
      </c>
      <c r="U37" t="s">
        <v>96</v>
      </c>
      <c r="V37" t="s">
        <v>196</v>
      </c>
      <c r="W37" t="s">
        <v>197</v>
      </c>
      <c r="X37" t="s">
        <v>99</v>
      </c>
      <c r="Y37" t="s">
        <v>100</v>
      </c>
      <c r="Z37" t="s">
        <v>101</v>
      </c>
      <c r="AB37" t="s">
        <v>101</v>
      </c>
      <c r="AC37" t="s">
        <v>102</v>
      </c>
      <c r="AD37" t="s">
        <v>103</v>
      </c>
      <c r="AE37" t="s">
        <v>104</v>
      </c>
      <c r="AF37" t="s">
        <v>96</v>
      </c>
      <c r="AG37">
        <v>2.3961E-2</v>
      </c>
      <c r="AH37" t="s">
        <v>105</v>
      </c>
      <c r="AI37" t="s">
        <v>106</v>
      </c>
      <c r="AJ37" t="s">
        <v>107</v>
      </c>
      <c r="AK37" t="s">
        <v>107</v>
      </c>
      <c r="AL37">
        <v>0.53912249999999995</v>
      </c>
      <c r="AM37">
        <v>0.53912249999999995</v>
      </c>
      <c r="AN37">
        <v>1</v>
      </c>
      <c r="AO37" t="s">
        <v>86</v>
      </c>
      <c r="AS37" t="s">
        <v>117</v>
      </c>
      <c r="AT37">
        <v>22.5</v>
      </c>
      <c r="AU37" t="s">
        <v>109</v>
      </c>
      <c r="AY37" t="s">
        <v>110</v>
      </c>
      <c r="BB37" t="s">
        <v>111</v>
      </c>
    </row>
    <row r="38" spans="1:54">
      <c r="A38" t="s">
        <v>82</v>
      </c>
      <c r="B38" t="s">
        <v>83</v>
      </c>
      <c r="E38" t="s">
        <v>84</v>
      </c>
      <c r="F38" t="s">
        <v>82</v>
      </c>
      <c r="J38" t="s">
        <v>85</v>
      </c>
      <c r="K38" t="s">
        <v>86</v>
      </c>
      <c r="L38" t="s">
        <v>180</v>
      </c>
      <c r="M38" t="s">
        <v>88</v>
      </c>
      <c r="N38" t="s">
        <v>89</v>
      </c>
      <c r="O38" t="s">
        <v>90</v>
      </c>
      <c r="P38" t="s">
        <v>91</v>
      </c>
      <c r="Q38" t="s">
        <v>164</v>
      </c>
      <c r="R38" t="s">
        <v>165</v>
      </c>
      <c r="S38" t="s">
        <v>94</v>
      </c>
      <c r="T38" t="s">
        <v>95</v>
      </c>
      <c r="U38" t="s">
        <v>96</v>
      </c>
      <c r="V38" t="s">
        <v>166</v>
      </c>
      <c r="W38" t="s">
        <v>167</v>
      </c>
      <c r="X38" t="s">
        <v>99</v>
      </c>
      <c r="Y38" t="s">
        <v>100</v>
      </c>
      <c r="Z38" t="s">
        <v>101</v>
      </c>
      <c r="AB38" t="s">
        <v>101</v>
      </c>
      <c r="AC38" t="s">
        <v>102</v>
      </c>
      <c r="AD38" t="s">
        <v>103</v>
      </c>
      <c r="AE38" t="s">
        <v>104</v>
      </c>
      <c r="AF38" t="s">
        <v>96</v>
      </c>
      <c r="AG38">
        <v>12.338687999999999</v>
      </c>
      <c r="AH38" t="s">
        <v>105</v>
      </c>
      <c r="AI38" t="s">
        <v>106</v>
      </c>
      <c r="AJ38" t="s">
        <v>107</v>
      </c>
      <c r="AK38" t="s">
        <v>107</v>
      </c>
      <c r="AL38">
        <v>3.0846719999999999</v>
      </c>
      <c r="AM38">
        <v>3.0846719999999999</v>
      </c>
      <c r="AN38">
        <v>1</v>
      </c>
      <c r="AO38" t="s">
        <v>86</v>
      </c>
      <c r="AS38" t="s">
        <v>117</v>
      </c>
      <c r="AT38">
        <v>0.25</v>
      </c>
      <c r="AU38" t="s">
        <v>109</v>
      </c>
      <c r="AY38" t="s">
        <v>110</v>
      </c>
      <c r="BB38" t="s">
        <v>111</v>
      </c>
    </row>
    <row r="39" spans="1:54">
      <c r="A39" t="s">
        <v>82</v>
      </c>
      <c r="B39" t="s">
        <v>83</v>
      </c>
      <c r="E39" t="s">
        <v>84</v>
      </c>
      <c r="F39" t="s">
        <v>82</v>
      </c>
      <c r="J39" t="s">
        <v>85</v>
      </c>
      <c r="K39" t="s">
        <v>86</v>
      </c>
      <c r="L39" t="s">
        <v>112</v>
      </c>
      <c r="M39" t="s">
        <v>88</v>
      </c>
      <c r="N39" t="s">
        <v>89</v>
      </c>
      <c r="O39" t="s">
        <v>90</v>
      </c>
      <c r="P39" t="s">
        <v>91</v>
      </c>
      <c r="Q39" t="s">
        <v>198</v>
      </c>
      <c r="R39" t="s">
        <v>199</v>
      </c>
      <c r="S39" t="s">
        <v>94</v>
      </c>
      <c r="T39" t="s">
        <v>95</v>
      </c>
      <c r="U39" t="s">
        <v>96</v>
      </c>
      <c r="V39" t="s">
        <v>200</v>
      </c>
      <c r="W39" t="s">
        <v>201</v>
      </c>
      <c r="X39" t="s">
        <v>99</v>
      </c>
      <c r="Y39" t="s">
        <v>100</v>
      </c>
      <c r="Z39" t="s">
        <v>101</v>
      </c>
      <c r="AB39" t="s">
        <v>101</v>
      </c>
      <c r="AC39" t="s">
        <v>102</v>
      </c>
      <c r="AD39" t="s">
        <v>103</v>
      </c>
      <c r="AE39" t="s">
        <v>104</v>
      </c>
      <c r="AF39" t="s">
        <v>96</v>
      </c>
      <c r="AG39">
        <v>2.0000000000000002E-5</v>
      </c>
      <c r="AH39" t="s">
        <v>105</v>
      </c>
      <c r="AI39" t="s">
        <v>106</v>
      </c>
      <c r="AJ39" t="s">
        <v>107</v>
      </c>
      <c r="AK39" t="s">
        <v>107</v>
      </c>
      <c r="AL39">
        <v>2.5000000000000001E-5</v>
      </c>
      <c r="AM39">
        <v>2.5000000000000001E-5</v>
      </c>
      <c r="AN39">
        <v>1</v>
      </c>
      <c r="AO39" t="s">
        <v>86</v>
      </c>
      <c r="AS39" t="s">
        <v>108</v>
      </c>
      <c r="AT39">
        <v>1.25</v>
      </c>
      <c r="AU39" t="s">
        <v>109</v>
      </c>
      <c r="AY39" t="s">
        <v>110</v>
      </c>
      <c r="BB39" t="s">
        <v>111</v>
      </c>
    </row>
    <row r="40" spans="1:54">
      <c r="A40" t="s">
        <v>82</v>
      </c>
      <c r="B40" t="s">
        <v>83</v>
      </c>
      <c r="E40" t="s">
        <v>84</v>
      </c>
      <c r="F40" t="s">
        <v>82</v>
      </c>
      <c r="J40" t="s">
        <v>85</v>
      </c>
      <c r="K40" t="s">
        <v>86</v>
      </c>
      <c r="L40" t="s">
        <v>87</v>
      </c>
      <c r="M40" t="s">
        <v>88</v>
      </c>
      <c r="N40" t="s">
        <v>89</v>
      </c>
      <c r="O40" t="s">
        <v>90</v>
      </c>
      <c r="P40" t="s">
        <v>91</v>
      </c>
      <c r="Q40" t="s">
        <v>126</v>
      </c>
      <c r="R40" t="s">
        <v>127</v>
      </c>
      <c r="S40" t="s">
        <v>94</v>
      </c>
      <c r="T40" t="s">
        <v>95</v>
      </c>
      <c r="U40" t="s">
        <v>96</v>
      </c>
      <c r="V40" t="s">
        <v>128</v>
      </c>
      <c r="W40" t="s">
        <v>129</v>
      </c>
      <c r="X40" t="s">
        <v>99</v>
      </c>
      <c r="Y40" t="s">
        <v>100</v>
      </c>
      <c r="Z40" t="s">
        <v>101</v>
      </c>
      <c r="AB40" t="s">
        <v>101</v>
      </c>
      <c r="AC40" t="s">
        <v>102</v>
      </c>
      <c r="AD40" t="s">
        <v>103</v>
      </c>
      <c r="AE40" t="s">
        <v>104</v>
      </c>
      <c r="AF40" t="s">
        <v>96</v>
      </c>
      <c r="AG40">
        <v>9.8999999999999994E-5</v>
      </c>
      <c r="AH40" t="s">
        <v>105</v>
      </c>
      <c r="AI40" t="s">
        <v>106</v>
      </c>
      <c r="AJ40" t="s">
        <v>107</v>
      </c>
      <c r="AK40" t="s">
        <v>107</v>
      </c>
      <c r="AL40">
        <v>1.485E-3</v>
      </c>
      <c r="AM40">
        <v>1.485E-3</v>
      </c>
      <c r="AN40">
        <v>1</v>
      </c>
      <c r="AO40" t="s">
        <v>86</v>
      </c>
      <c r="AS40" t="s">
        <v>117</v>
      </c>
      <c r="AT40">
        <v>15</v>
      </c>
      <c r="AU40" t="s">
        <v>109</v>
      </c>
      <c r="AY40" t="s">
        <v>110</v>
      </c>
      <c r="BB40" t="s">
        <v>111</v>
      </c>
    </row>
    <row r="41" spans="1:54">
      <c r="A41" t="s">
        <v>82</v>
      </c>
      <c r="B41" t="s">
        <v>83</v>
      </c>
      <c r="E41" t="s">
        <v>84</v>
      </c>
      <c r="F41" t="s">
        <v>82</v>
      </c>
      <c r="J41" t="s">
        <v>85</v>
      </c>
      <c r="K41" t="s">
        <v>86</v>
      </c>
      <c r="L41" t="s">
        <v>125</v>
      </c>
      <c r="M41" t="s">
        <v>88</v>
      </c>
      <c r="N41" t="s">
        <v>89</v>
      </c>
      <c r="O41" t="s">
        <v>90</v>
      </c>
      <c r="P41" t="s">
        <v>91</v>
      </c>
      <c r="Q41" t="s">
        <v>113</v>
      </c>
      <c r="R41" t="s">
        <v>114</v>
      </c>
      <c r="S41" t="s">
        <v>94</v>
      </c>
      <c r="T41" t="s">
        <v>95</v>
      </c>
      <c r="U41" t="s">
        <v>96</v>
      </c>
      <c r="V41" t="s">
        <v>115</v>
      </c>
      <c r="W41" t="s">
        <v>116</v>
      </c>
      <c r="X41" t="s">
        <v>99</v>
      </c>
      <c r="Y41" t="s">
        <v>100</v>
      </c>
      <c r="Z41" t="s">
        <v>101</v>
      </c>
      <c r="AB41" t="s">
        <v>101</v>
      </c>
      <c r="AC41" t="s">
        <v>102</v>
      </c>
      <c r="AD41" t="s">
        <v>103</v>
      </c>
      <c r="AE41" t="s">
        <v>104</v>
      </c>
      <c r="AF41" t="s">
        <v>96</v>
      </c>
      <c r="AG41">
        <v>5.8431810000000004</v>
      </c>
      <c r="AH41" t="s">
        <v>105</v>
      </c>
      <c r="AI41" t="s">
        <v>106</v>
      </c>
      <c r="AJ41" t="s">
        <v>107</v>
      </c>
      <c r="AK41" t="s">
        <v>107</v>
      </c>
      <c r="AL41">
        <v>14.6079525</v>
      </c>
      <c r="AM41">
        <v>14.6079525</v>
      </c>
      <c r="AN41">
        <v>1</v>
      </c>
      <c r="AO41" t="s">
        <v>86</v>
      </c>
      <c r="AS41" t="s">
        <v>117</v>
      </c>
      <c r="AT41">
        <v>2.5</v>
      </c>
      <c r="AU41" t="s">
        <v>109</v>
      </c>
      <c r="AY41" t="s">
        <v>110</v>
      </c>
      <c r="BB41" t="s">
        <v>111</v>
      </c>
    </row>
    <row r="42" spans="1:54">
      <c r="A42" t="s">
        <v>82</v>
      </c>
      <c r="B42" t="s">
        <v>83</v>
      </c>
      <c r="E42" t="s">
        <v>84</v>
      </c>
      <c r="F42" t="s">
        <v>82</v>
      </c>
      <c r="J42" t="s">
        <v>85</v>
      </c>
      <c r="K42" t="s">
        <v>86</v>
      </c>
      <c r="L42" t="s">
        <v>202</v>
      </c>
      <c r="M42" t="s">
        <v>88</v>
      </c>
      <c r="N42" t="s">
        <v>89</v>
      </c>
      <c r="O42" t="s">
        <v>90</v>
      </c>
      <c r="P42" t="s">
        <v>91</v>
      </c>
      <c r="Q42" t="s">
        <v>113</v>
      </c>
      <c r="R42" t="s">
        <v>114</v>
      </c>
      <c r="S42" t="s">
        <v>94</v>
      </c>
      <c r="T42" t="s">
        <v>95</v>
      </c>
      <c r="U42" t="s">
        <v>96</v>
      </c>
      <c r="V42" t="s">
        <v>115</v>
      </c>
      <c r="W42" t="s">
        <v>116</v>
      </c>
      <c r="X42" t="s">
        <v>99</v>
      </c>
      <c r="Y42" t="s">
        <v>100</v>
      </c>
      <c r="Z42" t="s">
        <v>101</v>
      </c>
      <c r="AB42" t="s">
        <v>101</v>
      </c>
      <c r="AC42" t="s">
        <v>102</v>
      </c>
      <c r="AD42" t="s">
        <v>103</v>
      </c>
      <c r="AE42" t="s">
        <v>104</v>
      </c>
      <c r="AF42" t="s">
        <v>96</v>
      </c>
      <c r="AG42">
        <v>4.3579230000000004</v>
      </c>
      <c r="AH42" t="s">
        <v>105</v>
      </c>
      <c r="AI42" t="s">
        <v>106</v>
      </c>
      <c r="AJ42" t="s">
        <v>107</v>
      </c>
      <c r="AK42" t="s">
        <v>107</v>
      </c>
      <c r="AL42">
        <v>10.894807500000001</v>
      </c>
      <c r="AM42">
        <v>10.894807500000001</v>
      </c>
      <c r="AN42">
        <v>1</v>
      </c>
      <c r="AO42" t="s">
        <v>86</v>
      </c>
      <c r="AS42" t="s">
        <v>117</v>
      </c>
      <c r="AT42">
        <v>2.5</v>
      </c>
      <c r="AU42" t="s">
        <v>109</v>
      </c>
      <c r="AY42" t="s">
        <v>110</v>
      </c>
      <c r="BB42" t="s">
        <v>111</v>
      </c>
    </row>
    <row r="43" spans="1:54">
      <c r="A43" t="s">
        <v>82</v>
      </c>
      <c r="B43" t="s">
        <v>83</v>
      </c>
      <c r="E43" t="s">
        <v>84</v>
      </c>
      <c r="F43" t="s">
        <v>82</v>
      </c>
      <c r="J43" t="s">
        <v>85</v>
      </c>
      <c r="K43" t="s">
        <v>86</v>
      </c>
      <c r="L43" t="s">
        <v>202</v>
      </c>
      <c r="M43" t="s">
        <v>88</v>
      </c>
      <c r="N43" t="s">
        <v>89</v>
      </c>
      <c r="O43" t="s">
        <v>90</v>
      </c>
      <c r="P43" t="s">
        <v>91</v>
      </c>
      <c r="Q43" t="s">
        <v>176</v>
      </c>
      <c r="R43" t="s">
        <v>177</v>
      </c>
      <c r="S43" t="s">
        <v>94</v>
      </c>
      <c r="T43" t="s">
        <v>120</v>
      </c>
      <c r="U43" t="s">
        <v>96</v>
      </c>
      <c r="V43" t="s">
        <v>178</v>
      </c>
      <c r="W43" t="s">
        <v>179</v>
      </c>
      <c r="X43" t="s">
        <v>99</v>
      </c>
      <c r="Y43" t="s">
        <v>100</v>
      </c>
      <c r="Z43" t="s">
        <v>101</v>
      </c>
      <c r="AB43" t="s">
        <v>101</v>
      </c>
      <c r="AC43" t="s">
        <v>102</v>
      </c>
      <c r="AD43" t="s">
        <v>103</v>
      </c>
      <c r="AE43" t="s">
        <v>104</v>
      </c>
      <c r="AF43" t="s">
        <v>96</v>
      </c>
      <c r="AG43">
        <v>4.5999999999999999E-2</v>
      </c>
      <c r="AH43" t="s">
        <v>123</v>
      </c>
      <c r="AI43" t="s">
        <v>106</v>
      </c>
      <c r="AJ43" t="s">
        <v>107</v>
      </c>
      <c r="AK43" t="s">
        <v>107</v>
      </c>
      <c r="AL43">
        <v>9.2E-5</v>
      </c>
      <c r="AM43">
        <v>9.2E-5</v>
      </c>
      <c r="AN43">
        <v>1</v>
      </c>
      <c r="AO43" t="s">
        <v>86</v>
      </c>
      <c r="AS43" t="s">
        <v>163</v>
      </c>
      <c r="AT43">
        <v>2E-3</v>
      </c>
      <c r="AU43" t="s">
        <v>109</v>
      </c>
      <c r="AY43" t="s">
        <v>110</v>
      </c>
      <c r="BB43" t="s">
        <v>111</v>
      </c>
    </row>
    <row r="44" spans="1:54">
      <c r="A44" t="s">
        <v>82</v>
      </c>
      <c r="B44" t="s">
        <v>83</v>
      </c>
      <c r="E44" t="s">
        <v>84</v>
      </c>
      <c r="F44" t="s">
        <v>82</v>
      </c>
      <c r="J44" t="s">
        <v>85</v>
      </c>
      <c r="K44" t="s">
        <v>86</v>
      </c>
      <c r="L44" t="s">
        <v>202</v>
      </c>
      <c r="M44" t="s">
        <v>88</v>
      </c>
      <c r="N44" t="s">
        <v>89</v>
      </c>
      <c r="O44" t="s">
        <v>90</v>
      </c>
      <c r="P44" t="s">
        <v>91</v>
      </c>
      <c r="Q44" t="s">
        <v>126</v>
      </c>
      <c r="R44" t="s">
        <v>127</v>
      </c>
      <c r="S44" t="s">
        <v>94</v>
      </c>
      <c r="T44" t="s">
        <v>95</v>
      </c>
      <c r="U44" t="s">
        <v>96</v>
      </c>
      <c r="V44" t="s">
        <v>128</v>
      </c>
      <c r="W44" t="s">
        <v>129</v>
      </c>
      <c r="X44" t="s">
        <v>99</v>
      </c>
      <c r="Y44" t="s">
        <v>100</v>
      </c>
      <c r="Z44" t="s">
        <v>101</v>
      </c>
      <c r="AB44" t="s">
        <v>101</v>
      </c>
      <c r="AC44" t="s">
        <v>102</v>
      </c>
      <c r="AD44" t="s">
        <v>103</v>
      </c>
      <c r="AE44" t="s">
        <v>104</v>
      </c>
      <c r="AF44" t="s">
        <v>96</v>
      </c>
      <c r="AG44">
        <v>0.29222900000000002</v>
      </c>
      <c r="AH44" t="s">
        <v>105</v>
      </c>
      <c r="AI44" t="s">
        <v>106</v>
      </c>
      <c r="AJ44" t="s">
        <v>107</v>
      </c>
      <c r="AK44" t="s">
        <v>107</v>
      </c>
      <c r="AL44">
        <v>4.3834350000000004</v>
      </c>
      <c r="AM44">
        <v>4.3834350000000004</v>
      </c>
      <c r="AN44">
        <v>1</v>
      </c>
      <c r="AO44" t="s">
        <v>86</v>
      </c>
      <c r="AS44" t="s">
        <v>117</v>
      </c>
      <c r="AT44">
        <v>15</v>
      </c>
      <c r="AU44" t="s">
        <v>109</v>
      </c>
      <c r="AY44" t="s">
        <v>110</v>
      </c>
      <c r="BB44" t="s">
        <v>111</v>
      </c>
    </row>
    <row r="45" spans="1:54">
      <c r="A45" t="s">
        <v>82</v>
      </c>
      <c r="B45" t="s">
        <v>83</v>
      </c>
      <c r="E45" t="s">
        <v>84</v>
      </c>
      <c r="F45" t="s">
        <v>82</v>
      </c>
      <c r="J45" t="s">
        <v>85</v>
      </c>
      <c r="K45" t="s">
        <v>86</v>
      </c>
      <c r="L45" t="s">
        <v>202</v>
      </c>
      <c r="M45" t="s">
        <v>88</v>
      </c>
      <c r="N45" t="s">
        <v>89</v>
      </c>
      <c r="O45" t="s">
        <v>90</v>
      </c>
      <c r="P45" t="s">
        <v>91</v>
      </c>
      <c r="Q45" t="s">
        <v>198</v>
      </c>
      <c r="R45" t="s">
        <v>199</v>
      </c>
      <c r="S45" t="s">
        <v>94</v>
      </c>
      <c r="T45" t="s">
        <v>95</v>
      </c>
      <c r="U45" t="s">
        <v>96</v>
      </c>
      <c r="V45" t="s">
        <v>200</v>
      </c>
      <c r="W45" t="s">
        <v>201</v>
      </c>
      <c r="X45" t="s">
        <v>99</v>
      </c>
      <c r="Y45" t="s">
        <v>100</v>
      </c>
      <c r="Z45" t="s">
        <v>101</v>
      </c>
      <c r="AB45" t="s">
        <v>101</v>
      </c>
      <c r="AC45" t="s">
        <v>102</v>
      </c>
      <c r="AD45" t="s">
        <v>103</v>
      </c>
      <c r="AE45" t="s">
        <v>104</v>
      </c>
      <c r="AF45" t="s">
        <v>96</v>
      </c>
      <c r="AG45">
        <v>6.9999999999999999E-6</v>
      </c>
      <c r="AH45" t="s">
        <v>105</v>
      </c>
      <c r="AI45" t="s">
        <v>106</v>
      </c>
      <c r="AJ45" t="s">
        <v>107</v>
      </c>
      <c r="AK45" t="s">
        <v>107</v>
      </c>
      <c r="AL45">
        <v>8.7499999999999992E-6</v>
      </c>
      <c r="AM45">
        <v>8.7499999999999992E-6</v>
      </c>
      <c r="AN45">
        <v>1</v>
      </c>
      <c r="AO45" t="s">
        <v>86</v>
      </c>
      <c r="AS45" t="s">
        <v>108</v>
      </c>
      <c r="AT45">
        <v>1.25</v>
      </c>
      <c r="AU45" t="s">
        <v>109</v>
      </c>
      <c r="AY45" t="s">
        <v>110</v>
      </c>
      <c r="BB45" t="s">
        <v>111</v>
      </c>
    </row>
    <row r="46" spans="1:54">
      <c r="A46" t="s">
        <v>82</v>
      </c>
      <c r="B46" t="s">
        <v>83</v>
      </c>
      <c r="E46" t="s">
        <v>84</v>
      </c>
      <c r="F46" t="s">
        <v>82</v>
      </c>
      <c r="J46" t="s">
        <v>85</v>
      </c>
      <c r="K46" t="s">
        <v>86</v>
      </c>
      <c r="L46" t="s">
        <v>202</v>
      </c>
      <c r="M46" t="s">
        <v>88</v>
      </c>
      <c r="N46" t="s">
        <v>89</v>
      </c>
      <c r="O46" t="s">
        <v>90</v>
      </c>
      <c r="P46" t="s">
        <v>91</v>
      </c>
      <c r="Q46" t="s">
        <v>168</v>
      </c>
      <c r="R46" t="s">
        <v>169</v>
      </c>
      <c r="S46" t="s">
        <v>94</v>
      </c>
      <c r="T46" t="s">
        <v>95</v>
      </c>
      <c r="U46" t="s">
        <v>96</v>
      </c>
      <c r="V46" t="s">
        <v>170</v>
      </c>
      <c r="W46" t="s">
        <v>171</v>
      </c>
      <c r="X46" t="s">
        <v>99</v>
      </c>
      <c r="Y46" t="s">
        <v>100</v>
      </c>
      <c r="Z46" t="s">
        <v>101</v>
      </c>
      <c r="AB46" t="s">
        <v>101</v>
      </c>
      <c r="AC46" t="s">
        <v>102</v>
      </c>
      <c r="AD46" t="s">
        <v>103</v>
      </c>
      <c r="AE46" t="s">
        <v>104</v>
      </c>
      <c r="AF46" t="s">
        <v>96</v>
      </c>
      <c r="AG46">
        <v>0.115968</v>
      </c>
      <c r="AH46" t="s">
        <v>105</v>
      </c>
      <c r="AI46" t="s">
        <v>106</v>
      </c>
      <c r="AJ46" t="s">
        <v>107</v>
      </c>
      <c r="AK46" t="s">
        <v>107</v>
      </c>
      <c r="AL46">
        <v>8.6975999999999998E-3</v>
      </c>
      <c r="AM46">
        <v>8.6975999999999998E-3</v>
      </c>
      <c r="AN46">
        <v>1</v>
      </c>
      <c r="AO46" t="s">
        <v>86</v>
      </c>
      <c r="AS46" t="s">
        <v>141</v>
      </c>
      <c r="AT46">
        <v>7.4999999999999997E-2</v>
      </c>
      <c r="AU46" t="s">
        <v>109</v>
      </c>
      <c r="AY46" t="s">
        <v>110</v>
      </c>
      <c r="BB46" t="s">
        <v>111</v>
      </c>
    </row>
    <row r="47" spans="1:54">
      <c r="A47" t="s">
        <v>82</v>
      </c>
      <c r="B47" t="s">
        <v>83</v>
      </c>
      <c r="E47" t="s">
        <v>84</v>
      </c>
      <c r="F47" t="s">
        <v>82</v>
      </c>
      <c r="J47" t="s">
        <v>85</v>
      </c>
      <c r="K47" t="s">
        <v>86</v>
      </c>
      <c r="L47" t="s">
        <v>202</v>
      </c>
      <c r="M47" t="s">
        <v>88</v>
      </c>
      <c r="N47" t="s">
        <v>89</v>
      </c>
      <c r="O47" t="s">
        <v>90</v>
      </c>
      <c r="P47" t="s">
        <v>91</v>
      </c>
      <c r="Q47" t="s">
        <v>142</v>
      </c>
      <c r="R47" t="s">
        <v>143</v>
      </c>
      <c r="S47" t="s">
        <v>94</v>
      </c>
      <c r="T47" t="s">
        <v>95</v>
      </c>
      <c r="U47" t="s">
        <v>96</v>
      </c>
      <c r="V47" t="s">
        <v>144</v>
      </c>
      <c r="W47" t="s">
        <v>145</v>
      </c>
      <c r="X47" t="s">
        <v>99</v>
      </c>
      <c r="Y47" t="s">
        <v>100</v>
      </c>
      <c r="Z47" t="s">
        <v>101</v>
      </c>
      <c r="AB47" t="s">
        <v>101</v>
      </c>
      <c r="AC47" t="s">
        <v>102</v>
      </c>
      <c r="AD47" t="s">
        <v>103</v>
      </c>
      <c r="AE47" t="s">
        <v>104</v>
      </c>
      <c r="AF47" t="s">
        <v>96</v>
      </c>
      <c r="AG47">
        <v>2.1409000000000001E-2</v>
      </c>
      <c r="AH47" t="s">
        <v>105</v>
      </c>
      <c r="AI47" t="s">
        <v>106</v>
      </c>
      <c r="AJ47" t="s">
        <v>107</v>
      </c>
      <c r="AK47" t="s">
        <v>107</v>
      </c>
      <c r="AL47">
        <v>1.6056750000000002E-2</v>
      </c>
      <c r="AM47">
        <v>1.6056750000000002E-2</v>
      </c>
      <c r="AN47">
        <v>1</v>
      </c>
      <c r="AO47" t="s">
        <v>86</v>
      </c>
      <c r="AS47" t="s">
        <v>141</v>
      </c>
      <c r="AT47">
        <v>0.75</v>
      </c>
      <c r="AU47" t="s">
        <v>109</v>
      </c>
      <c r="AY47" t="s">
        <v>110</v>
      </c>
      <c r="BB47" t="s">
        <v>111</v>
      </c>
    </row>
    <row r="48" spans="1:54">
      <c r="A48" t="s">
        <v>82</v>
      </c>
      <c r="B48" t="s">
        <v>83</v>
      </c>
      <c r="E48" t="s">
        <v>84</v>
      </c>
      <c r="F48" t="s">
        <v>82</v>
      </c>
      <c r="J48" t="s">
        <v>85</v>
      </c>
      <c r="K48" t="s">
        <v>86</v>
      </c>
      <c r="L48" t="s">
        <v>202</v>
      </c>
      <c r="M48" t="s">
        <v>88</v>
      </c>
      <c r="N48" t="s">
        <v>89</v>
      </c>
      <c r="O48" t="s">
        <v>90</v>
      </c>
      <c r="P48" t="s">
        <v>91</v>
      </c>
      <c r="Q48" t="s">
        <v>159</v>
      </c>
      <c r="R48" t="s">
        <v>160</v>
      </c>
      <c r="S48" t="s">
        <v>94</v>
      </c>
      <c r="T48" t="s">
        <v>120</v>
      </c>
      <c r="U48" t="s">
        <v>96</v>
      </c>
      <c r="V48" t="s">
        <v>161</v>
      </c>
      <c r="W48" t="s">
        <v>162</v>
      </c>
      <c r="X48" t="s">
        <v>99</v>
      </c>
      <c r="Y48" t="s">
        <v>100</v>
      </c>
      <c r="Z48" t="s">
        <v>101</v>
      </c>
      <c r="AB48" t="s">
        <v>101</v>
      </c>
      <c r="AC48" t="s">
        <v>102</v>
      </c>
      <c r="AD48" t="s">
        <v>103</v>
      </c>
      <c r="AE48" t="s">
        <v>104</v>
      </c>
      <c r="AF48" t="s">
        <v>96</v>
      </c>
      <c r="AG48">
        <v>2.4E-2</v>
      </c>
      <c r="AH48" t="s">
        <v>123</v>
      </c>
      <c r="AI48" t="s">
        <v>106</v>
      </c>
      <c r="AJ48" t="s">
        <v>107</v>
      </c>
      <c r="AK48" t="s">
        <v>107</v>
      </c>
      <c r="AL48">
        <v>1.92E-4</v>
      </c>
      <c r="AM48">
        <v>1.92E-4</v>
      </c>
      <c r="AN48">
        <v>1</v>
      </c>
      <c r="AO48" t="s">
        <v>86</v>
      </c>
      <c r="AS48" t="s">
        <v>163</v>
      </c>
      <c r="AT48">
        <v>8.0000000000000002E-3</v>
      </c>
      <c r="AU48" t="s">
        <v>109</v>
      </c>
      <c r="AY48" t="s">
        <v>110</v>
      </c>
      <c r="BB48" t="s">
        <v>111</v>
      </c>
    </row>
    <row r="49" spans="1:54">
      <c r="A49" t="s">
        <v>82</v>
      </c>
      <c r="B49" t="s">
        <v>83</v>
      </c>
      <c r="E49" t="s">
        <v>84</v>
      </c>
      <c r="F49" t="s">
        <v>82</v>
      </c>
      <c r="J49" t="s">
        <v>85</v>
      </c>
      <c r="K49" t="s">
        <v>86</v>
      </c>
      <c r="L49" t="s">
        <v>202</v>
      </c>
      <c r="M49" t="s">
        <v>88</v>
      </c>
      <c r="N49" t="s">
        <v>89</v>
      </c>
      <c r="O49" t="s">
        <v>90</v>
      </c>
      <c r="P49" t="s">
        <v>91</v>
      </c>
      <c r="Q49" t="s">
        <v>137</v>
      </c>
      <c r="R49" t="s">
        <v>138</v>
      </c>
      <c r="S49" t="s">
        <v>94</v>
      </c>
      <c r="T49" t="s">
        <v>95</v>
      </c>
      <c r="U49" t="s">
        <v>96</v>
      </c>
      <c r="V49" t="s">
        <v>139</v>
      </c>
      <c r="W49" t="s">
        <v>140</v>
      </c>
      <c r="X49" t="s">
        <v>99</v>
      </c>
      <c r="Y49" t="s">
        <v>100</v>
      </c>
      <c r="Z49" t="s">
        <v>101</v>
      </c>
      <c r="AB49" t="s">
        <v>101</v>
      </c>
      <c r="AC49" t="s">
        <v>102</v>
      </c>
      <c r="AD49" t="s">
        <v>103</v>
      </c>
      <c r="AE49" t="s">
        <v>104</v>
      </c>
      <c r="AF49" t="s">
        <v>96</v>
      </c>
      <c r="AG49">
        <v>4.0049999999999999E-3</v>
      </c>
      <c r="AH49" t="s">
        <v>105</v>
      </c>
      <c r="AI49" t="s">
        <v>106</v>
      </c>
      <c r="AJ49" t="s">
        <v>107</v>
      </c>
      <c r="AK49" t="s">
        <v>107</v>
      </c>
      <c r="AL49">
        <v>1.80225E-2</v>
      </c>
      <c r="AM49">
        <v>1.80225E-2</v>
      </c>
      <c r="AN49">
        <v>1</v>
      </c>
      <c r="AO49" t="s">
        <v>86</v>
      </c>
      <c r="AS49" t="s">
        <v>141</v>
      </c>
      <c r="AT49">
        <v>4.5</v>
      </c>
      <c r="AU49" t="s">
        <v>109</v>
      </c>
      <c r="AY49" t="s">
        <v>110</v>
      </c>
      <c r="BB49" t="s">
        <v>111</v>
      </c>
    </row>
    <row r="50" spans="1:54">
      <c r="A50" t="s">
        <v>82</v>
      </c>
      <c r="B50" t="s">
        <v>83</v>
      </c>
      <c r="E50" t="s">
        <v>84</v>
      </c>
      <c r="F50" t="s">
        <v>82</v>
      </c>
      <c r="J50" t="s">
        <v>85</v>
      </c>
      <c r="K50" t="s">
        <v>86</v>
      </c>
      <c r="L50" t="s">
        <v>202</v>
      </c>
      <c r="M50" t="s">
        <v>88</v>
      </c>
      <c r="N50" t="s">
        <v>89</v>
      </c>
      <c r="O50" t="s">
        <v>90</v>
      </c>
      <c r="P50" t="s">
        <v>91</v>
      </c>
      <c r="Q50" t="s">
        <v>164</v>
      </c>
      <c r="R50" t="s">
        <v>165</v>
      </c>
      <c r="S50" t="s">
        <v>94</v>
      </c>
      <c r="T50" t="s">
        <v>95</v>
      </c>
      <c r="U50" t="s">
        <v>96</v>
      </c>
      <c r="V50" t="s">
        <v>166</v>
      </c>
      <c r="W50" t="s">
        <v>167</v>
      </c>
      <c r="X50" t="s">
        <v>99</v>
      </c>
      <c r="Y50" t="s">
        <v>100</v>
      </c>
      <c r="Z50" t="s">
        <v>101</v>
      </c>
      <c r="AB50" t="s">
        <v>101</v>
      </c>
      <c r="AC50" t="s">
        <v>102</v>
      </c>
      <c r="AD50" t="s">
        <v>103</v>
      </c>
      <c r="AE50" t="s">
        <v>104</v>
      </c>
      <c r="AF50" t="s">
        <v>96</v>
      </c>
      <c r="AG50">
        <v>19.955839999999998</v>
      </c>
      <c r="AH50" t="s">
        <v>105</v>
      </c>
      <c r="AI50" t="s">
        <v>106</v>
      </c>
      <c r="AJ50" t="s">
        <v>107</v>
      </c>
      <c r="AK50" t="s">
        <v>107</v>
      </c>
      <c r="AL50">
        <v>4.9889599999999996</v>
      </c>
      <c r="AM50">
        <v>4.9889599999999996</v>
      </c>
      <c r="AN50">
        <v>1</v>
      </c>
      <c r="AO50" t="s">
        <v>86</v>
      </c>
      <c r="AS50" t="s">
        <v>117</v>
      </c>
      <c r="AT50">
        <v>0.25</v>
      </c>
      <c r="AU50" t="s">
        <v>109</v>
      </c>
      <c r="AY50" t="s">
        <v>110</v>
      </c>
      <c r="BB50" t="s">
        <v>111</v>
      </c>
    </row>
    <row r="51" spans="1:54">
      <c r="A51" t="s">
        <v>203</v>
      </c>
      <c r="AL51">
        <v>129.31222199999999</v>
      </c>
    </row>
  </sheetData>
  <phoneticPr fontId="2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C30" sqref="C30"/>
    </sheetView>
  </sheetViews>
  <sheetFormatPr defaultColWidth="9" defaultRowHeight="15.65"/>
  <cols>
    <col min="2" max="3" width="11.5546875" customWidth="1"/>
    <col min="4" max="4" width="11.21875" customWidth="1"/>
    <col min="8" max="8" width="11.109375" customWidth="1"/>
  </cols>
  <sheetData>
    <row r="1" spans="1:4">
      <c r="A1" s="1" t="s">
        <v>204</v>
      </c>
      <c r="B1" t="s">
        <v>205</v>
      </c>
      <c r="C1" t="s">
        <v>206</v>
      </c>
      <c r="D1" t="s">
        <v>207</v>
      </c>
    </row>
    <row r="2" spans="1:4">
      <c r="A2" s="1">
        <v>46174</v>
      </c>
      <c r="B2" s="2">
        <v>84.052944299999993</v>
      </c>
      <c r="D2" s="3">
        <f>表1[[#This Row],[回款金额]]-表1[[#This Row],[账单金额]]</f>
        <v>-84.052944299999993</v>
      </c>
    </row>
    <row r="3" spans="1:4">
      <c r="A3" s="1">
        <v>46204</v>
      </c>
      <c r="B3" s="2"/>
      <c r="C3" s="2">
        <f>1991.7/2</f>
        <v>995.85</v>
      </c>
      <c r="D3" s="2">
        <f>D2+表1[[#This Row],[回款金额]]-表1[[#This Row],[账单金额]]</f>
        <v>911.79705569999999</v>
      </c>
    </row>
    <row r="4" spans="1:4">
      <c r="A4" s="1">
        <v>46235</v>
      </c>
      <c r="B4" s="2"/>
      <c r="C4" s="2"/>
      <c r="D4" s="2"/>
    </row>
    <row r="5" spans="1:4">
      <c r="A5" s="1">
        <v>46266</v>
      </c>
      <c r="B5" s="2"/>
      <c r="C5" s="2"/>
      <c r="D5" s="2"/>
    </row>
    <row r="6" spans="1:4">
      <c r="A6" s="1" t="s">
        <v>203</v>
      </c>
      <c r="B6" s="2">
        <f>SUBTOTAL(109,B2:B5)</f>
        <v>84.052944299999993</v>
      </c>
      <c r="C6" s="2">
        <f>SUBTOTAL(109,C3:C5)</f>
        <v>995.85</v>
      </c>
      <c r="D6" s="3">
        <f>表1[[#This Row],[回款金额]]-表1[[#This Row],[账单金额]]</f>
        <v>911.79705569999999</v>
      </c>
    </row>
  </sheetData>
  <phoneticPr fontId="2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付款通知书</vt:lpstr>
      <vt:lpstr>详细账单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Wangju_2025</cp:lastModifiedBy>
  <cp:lastPrinted>2024-09-10T02:22:00Z</cp:lastPrinted>
  <dcterms:created xsi:type="dcterms:W3CDTF">2019-06-21T09:02:00Z</dcterms:created>
  <dcterms:modified xsi:type="dcterms:W3CDTF">2026-07-24T03:14:14Z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039B6F69F6D747FF806EC69E36397FD9_13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