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3080" activeTab="2"/>
  </bookViews>
  <sheets>
    <sheet name="FAR" sheetId="1" r:id="rId1"/>
    <sheet name="hehe8月账单" sheetId="9" r:id="rId2"/>
    <sheet name="hehe9月账单" sheetId="12" r:id="rId3"/>
    <sheet name="瑞云账单～9.07~9.12" sheetId="10" r:id="rId4"/>
    <sheet name="瑞云账单～9.13~9.30" sheetId="11" r:id="rId5"/>
    <sheet name="章子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<sst xmlns="http://schemas.openxmlformats.org/spreadsheetml/2006/main" count="85" uniqueCount="25">
  <si>
    <t>Invoice</t>
  </si>
  <si>
    <t>Invoice No.</t>
  </si>
  <si>
    <t>Invoice Date</t>
  </si>
  <si>
    <r>
      <rPr>
        <b/>
        <sz val="14"/>
        <color theme="1"/>
        <rFont val="Times New Roman"/>
        <charset val="134"/>
      </rPr>
      <t>Bill To</t>
    </r>
    <r>
      <rPr>
        <b/>
        <sz val="12"/>
        <color theme="1"/>
        <rFont val="Times New Roman"/>
        <charset val="134"/>
      </rPr>
      <t>:</t>
    </r>
    <r>
      <rPr>
        <sz val="10.5"/>
        <color rgb="FFFF0000"/>
        <rFont val="Calibri"/>
        <charset val="134"/>
      </rPr>
      <t>FAR VISION TECH LIMITED</t>
    </r>
  </si>
  <si>
    <r>
      <rPr>
        <b/>
        <sz val="14"/>
        <color theme="1"/>
        <rFont val="Times New Roman"/>
        <charset val="134"/>
      </rPr>
      <t>Address</t>
    </r>
    <r>
      <rPr>
        <b/>
        <sz val="14"/>
        <color theme="1"/>
        <rFont val="微软雅黑"/>
        <charset val="134"/>
      </rPr>
      <t>：</t>
    </r>
    <r>
      <rPr>
        <sz val="10.5"/>
        <color rgb="FFFF0000"/>
        <rFont val="Calibri"/>
        <charset val="134"/>
      </rPr>
      <t>FLAT/RM A 20/F KIU FU COMM BLDG 300 LOCKHART RD WAN CHAI HONGKONG</t>
    </r>
  </si>
  <si>
    <t>Description</t>
  </si>
  <si>
    <t>Campaign</t>
  </si>
  <si>
    <t>Period</t>
  </si>
  <si>
    <r>
      <rPr>
        <b/>
        <sz val="11"/>
        <color rgb="FF000000"/>
        <rFont val="Times New Roman"/>
        <charset val="134"/>
      </rPr>
      <t>Amount/</t>
    </r>
    <r>
      <rPr>
        <b/>
        <sz val="11"/>
        <color rgb="FF000000"/>
        <rFont val="Times New Roman"/>
        <charset val="134"/>
      </rPr>
      <t>USD</t>
    </r>
  </si>
  <si>
    <t>Advertising fee</t>
  </si>
  <si>
    <t>-</t>
  </si>
  <si>
    <t>5-2026</t>
  </si>
  <si>
    <r>
      <rPr>
        <b/>
        <sz val="11"/>
        <color rgb="FF000000"/>
        <rFont val="Times New Roman"/>
        <charset val="134"/>
      </rPr>
      <t>Total/</t>
    </r>
    <r>
      <rPr>
        <b/>
        <sz val="11"/>
        <color rgb="FF000000"/>
        <rFont val="Times New Roman"/>
        <charset val="134"/>
      </rPr>
      <t>USD</t>
    </r>
  </si>
  <si>
    <t xml:space="preserve"> </t>
  </si>
  <si>
    <r>
      <rPr>
        <b/>
        <sz val="14"/>
        <color theme="1"/>
        <rFont val="Times New Roman"/>
        <charset val="134"/>
      </rPr>
      <t>Payment Instructions</t>
    </r>
    <r>
      <rPr>
        <b/>
        <sz val="14"/>
        <color theme="1"/>
        <rFont val="微软雅黑"/>
        <charset val="134"/>
      </rPr>
      <t>：</t>
    </r>
  </si>
  <si>
    <r>
      <rPr>
        <sz val="10.5"/>
        <color theme="1"/>
        <rFont val="Calibri"/>
        <charset val="134"/>
      </rPr>
      <t>Beneficiary Name: TRINITY AI INC
Beneficiary Address</t>
    </r>
    <r>
      <rPr>
        <sz val="10.5"/>
        <color theme="1"/>
        <rFont val="宋体"/>
        <charset val="134"/>
      </rPr>
      <t>：</t>
    </r>
    <r>
      <rPr>
        <sz val="10.5"/>
        <color theme="1"/>
        <rFont val="Calibri"/>
        <charset val="134"/>
      </rPr>
      <t>8 The Green. Ste A, in the Cityof Dover County of Kent Zip Code 19901
Beneficiary's A/C No</t>
    </r>
    <r>
      <rPr>
        <sz val="10.5"/>
        <color theme="1"/>
        <rFont val="宋体"/>
        <charset val="134"/>
      </rPr>
      <t>：</t>
    </r>
    <r>
      <rPr>
        <sz val="10.5"/>
        <color theme="1"/>
        <rFont val="Calibri"/>
        <charset val="134"/>
      </rPr>
      <t>2910760256
Beneficiary Bank : JPMorgan Chase Bank
Beneficiary Bank Address: 270 Park Ave, New York, NY 10017
Swift Code: CHASUS33
Routing number</t>
    </r>
    <r>
      <rPr>
        <sz val="10.5"/>
        <color theme="1"/>
        <rFont val="宋体"/>
        <charset val="134"/>
      </rPr>
      <t>：</t>
    </r>
    <r>
      <rPr>
        <sz val="10.5"/>
        <color theme="1"/>
        <rFont val="Calibri"/>
        <charset val="134"/>
      </rPr>
      <t>021000021</t>
    </r>
  </si>
  <si>
    <r>
      <rPr>
        <b/>
        <sz val="14"/>
        <color theme="1"/>
        <rFont val="Times New Roman"/>
        <charset val="134"/>
      </rPr>
      <t>Bill To</t>
    </r>
    <r>
      <rPr>
        <b/>
        <sz val="12"/>
        <color theme="1"/>
        <rFont val="Times New Roman"/>
        <charset val="134"/>
      </rPr>
      <t>:</t>
    </r>
    <r>
      <rPr>
        <sz val="10.5"/>
        <color theme="1"/>
        <rFont val="Calibri"/>
        <charset val="134"/>
      </rPr>
      <t>FAR VISION TECH LIMITED</t>
    </r>
  </si>
  <si>
    <r>
      <rPr>
        <b/>
        <sz val="14"/>
        <color theme="1"/>
        <rFont val="Times New Roman"/>
        <charset val="134"/>
      </rPr>
      <t>Address</t>
    </r>
    <r>
      <rPr>
        <b/>
        <sz val="14"/>
        <color theme="1"/>
        <rFont val="微软雅黑"/>
        <charset val="134"/>
      </rPr>
      <t>：</t>
    </r>
    <r>
      <rPr>
        <sz val="10.5"/>
        <color theme="1"/>
        <rFont val="Calibri"/>
        <charset val="134"/>
      </rPr>
      <t>FLAT/RM A 20/F KIU FU COMM BLDG 300 LOCKHART RD WAN CHAI HONGKONG</t>
    </r>
  </si>
  <si>
    <t>8-2026</t>
  </si>
  <si>
    <t>9-2026</t>
  </si>
  <si>
    <r>
      <rPr>
        <b/>
        <sz val="14"/>
        <color theme="1"/>
        <rFont val="Times New Roman"/>
        <charset val="134"/>
      </rPr>
      <t>Bill To</t>
    </r>
    <r>
      <rPr>
        <b/>
        <sz val="12"/>
        <color theme="1"/>
        <rFont val="Times New Roman"/>
        <charset val="134"/>
      </rPr>
      <t>: Fengyee Technology (HK) Limited</t>
    </r>
  </si>
  <si>
    <r>
      <rPr>
        <b/>
        <sz val="14"/>
        <color theme="1"/>
        <rFont val="Times New Roman"/>
        <charset val="134"/>
      </rPr>
      <t>Address</t>
    </r>
    <r>
      <rPr>
        <b/>
        <sz val="14"/>
        <color theme="1"/>
        <rFont val="微软雅黑"/>
        <charset val="134"/>
      </rPr>
      <t>：</t>
    </r>
    <r>
      <rPr>
        <b/>
        <sz val="14"/>
        <color theme="1"/>
        <rFont val="Times New Roman"/>
        <charset val="134"/>
      </rPr>
      <t>LAT 10198,10/F,LIVEN HOUSE,NO.61-63 KING YIP
STREET,KWUN TONG,KOWLOON, HONGKONG.</t>
    </r>
  </si>
  <si>
    <t>Computer services</t>
  </si>
  <si>
    <t>Sep 07, 2026 – Sep 12, 2026</t>
  </si>
  <si>
    <t>Sep 13, 2026 – Sep 30, 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</si>
</sst>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b/>
      <sz val="22"/>
      <color theme="1"/>
      <name val="Calibri"/>
      <charset val="134"/>
    </font>
    <font>
      <sz val="9"/>
      <color rgb="FF000000"/>
      <name val="Times New Roman"/>
      <charset val="134"/>
    </font>
    <font>
      <b/>
      <sz val="14"/>
      <color theme="1"/>
      <name val="Times New Roman"/>
      <charset val="134"/>
    </font>
    <font>
      <b/>
      <sz val="11"/>
      <color rgb="FF000000"/>
      <name val="Times New Roman"/>
      <charset val="134"/>
    </font>
    <font>
      <sz val="9"/>
      <color theme="1"/>
      <name val="Arial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8"/>
      <color rgb="FF000000"/>
      <name val="Times New Roman"/>
      <charset val="134"/>
    </font>
    <font>
      <sz val="10.5"/>
      <color theme="1"/>
      <name val="Calibri"/>
      <charset val="134"/>
    </font>
    <font>
      <sz val="9"/>
      <color rgb="FFFF0000"/>
      <name val="Arial"/>
      <charset val="134"/>
    </font>
    <font>
      <sz val="11"/>
      <color rgb="FFFF0000"/>
      <name val="Times New Roman"/>
      <charset val="134"/>
    </font>
    <font>
      <b/>
      <sz val="11"/>
      <color rgb="FFFF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theme="1"/>
      <name val="Times New Roman"/>
      <charset val="134"/>
    </font>
    <font>
      <b/>
      <sz val="14"/>
      <color theme="1"/>
      <name val="微软雅黑"/>
      <charset val="134"/>
    </font>
    <font>
      <sz val="10.5"/>
      <color rgb="FFFF0000"/>
      <name val="Calibri"/>
      <charset val="134"/>
    </font>
    <font>
      <sz val="10.5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6" applyNumberFormat="0" applyAlignment="0" applyProtection="0">
      <alignment vertical="center"/>
    </xf>
    <xf numFmtId="0" fontId="22" fillId="5" borderId="7" applyNumberFormat="0" applyAlignment="0" applyProtection="0">
      <alignment vertical="center"/>
    </xf>
    <xf numFmtId="0" fontId="23" fillId="5" borderId="6" applyNumberFormat="0" applyAlignment="0" applyProtection="0">
      <alignment vertical="center"/>
    </xf>
    <xf numFmtId="0" fontId="24" fillId="6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4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center"/>
    </xf>
    <xf numFmtId="4" fontId="7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justify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center" vertical="center"/>
    </xf>
    <xf numFmtId="4" fontId="12" fillId="0" borderId="2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1435100</xdr:colOff>
      <xdr:row>6</xdr:row>
      <xdr:rowOff>265430</xdr:rowOff>
    </xdr:from>
    <xdr:to>
      <xdr:col>3</xdr:col>
      <xdr:colOff>1148080</xdr:colOff>
      <xdr:row>10</xdr:row>
      <xdr:rowOff>78105</xdr:rowOff>
    </xdr:to>
    <xdr:pic>
      <xdr:nvPicPr>
        <xdr:cNvPr id="4" name="图片 3" descr="69ebb892-e7fc-4cd5-9502-ecf3118760cb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74315" y="2170430"/>
          <a:ext cx="2376805" cy="10826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1397635</xdr:colOff>
      <xdr:row>6</xdr:row>
      <xdr:rowOff>265430</xdr:rowOff>
    </xdr:from>
    <xdr:to>
      <xdr:col>3</xdr:col>
      <xdr:colOff>1148080</xdr:colOff>
      <xdr:row>10</xdr:row>
      <xdr:rowOff>78105</xdr:rowOff>
    </xdr:to>
    <xdr:pic>
      <xdr:nvPicPr>
        <xdr:cNvPr id="2" name="图片 1" descr="69ebb892-e7fc-4cd5-9502-ecf3118760cb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74315" y="2170430"/>
          <a:ext cx="2376805" cy="10826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1165225</xdr:colOff>
      <xdr:row>6</xdr:row>
      <xdr:rowOff>253365</xdr:rowOff>
    </xdr:from>
    <xdr:to>
      <xdr:col>3</xdr:col>
      <xdr:colOff>915670</xdr:colOff>
      <xdr:row>10</xdr:row>
      <xdr:rowOff>66040</xdr:rowOff>
    </xdr:to>
    <xdr:pic>
      <xdr:nvPicPr>
        <xdr:cNvPr id="2" name="图片 1" descr="69ebb892-e7fc-4cd5-9502-ecf3118760cb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41905" y="2158365"/>
          <a:ext cx="2376805" cy="1082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572135</xdr:colOff>
      <xdr:row>7</xdr:row>
      <xdr:rowOff>52705</xdr:rowOff>
    </xdr:from>
    <xdr:to>
      <xdr:col>3</xdr:col>
      <xdr:colOff>1001395</xdr:colOff>
      <xdr:row>10</xdr:row>
      <xdr:rowOff>182880</xdr:rowOff>
    </xdr:to>
    <xdr:pic>
      <xdr:nvPicPr>
        <xdr:cNvPr id="2" name="图片 1" descr="69ebb892-e7fc-4cd5-9502-ecf3118760cb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46450" y="2275205"/>
          <a:ext cx="2376805" cy="10826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572135</xdr:colOff>
      <xdr:row>7</xdr:row>
      <xdr:rowOff>52705</xdr:rowOff>
    </xdr:from>
    <xdr:to>
      <xdr:col>3</xdr:col>
      <xdr:colOff>1001395</xdr:colOff>
      <xdr:row>10</xdr:row>
      <xdr:rowOff>182880</xdr:rowOff>
    </xdr:to>
    <xdr:pic>
      <xdr:nvPicPr>
        <xdr:cNvPr id="2" name="图片 1" descr="69ebb892-e7fc-4cd5-9502-ecf3118760cb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46450" y="2275205"/>
          <a:ext cx="2376805" cy="10826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4</xdr:col>
      <xdr:colOff>0</xdr:colOff>
      <xdr:row>15</xdr:row>
      <xdr:rowOff>109855</xdr:rowOff>
    </xdr:to>
    <xdr:pic>
      <xdr:nvPicPr>
        <xdr:cNvPr id="2" name="图片 1" descr="2df03900-c6aa-44b4-a6f3-6f800bd56208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6580" y="1493520"/>
          <a:ext cx="1729740" cy="1816735"/>
        </a:xfrm>
        <a:prstGeom prst="rect">
          <a:avLst/>
        </a:prstGeom>
      </xdr:spPr>
    </xdr:pic>
    <xdr:clientData/>
  </xdr:twoCellAnchor>
  <xdr:twoCellAnchor editAs="oneCell">
    <xdr:from>
      <xdr:col>1</xdr:col>
      <xdr:colOff>6350</xdr:colOff>
      <xdr:row>20</xdr:row>
      <xdr:rowOff>6350</xdr:rowOff>
    </xdr:from>
    <xdr:to>
      <xdr:col>17</xdr:col>
      <xdr:colOff>311150</xdr:colOff>
      <xdr:row>44</xdr:row>
      <xdr:rowOff>109220</xdr:rowOff>
    </xdr:to>
    <xdr:pic>
      <xdr:nvPicPr>
        <xdr:cNvPr id="3" name="图片 2" descr="69ebb892-e7fc-4cd5-9502-ecf3118760cb(1)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82930" y="4273550"/>
          <a:ext cx="9530080" cy="52235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J12" sqref="J12"/>
    </sheetView>
  </sheetViews>
  <sheetFormatPr defaultColWidth="8.60576923076923" defaultRowHeight="16.8" outlineLevelCol="3"/>
  <cols>
    <col min="1" max="1" width="20.8461538461538" customWidth="1"/>
    <col min="2" max="2" width="21.1634615384615" customWidth="1"/>
    <col min="3" max="3" width="18.6057692307692" customWidth="1"/>
    <col min="4" max="4" width="22.4615384615385" customWidth="1"/>
  </cols>
  <sheetData>
    <row r="1" ht="25" customHeight="1" spans="1:4">
      <c r="A1" s="1" t="s">
        <v>0</v>
      </c>
      <c r="B1" s="1"/>
      <c r="C1" s="1"/>
      <c r="D1" s="1"/>
    </row>
    <row r="2" ht="25" customHeight="1" spans="1:4">
      <c r="A2" s="2"/>
      <c r="B2" s="2"/>
      <c r="C2" s="3" t="s">
        <v>1</v>
      </c>
      <c r="D2" s="4">
        <v>20260917001</v>
      </c>
    </row>
    <row r="3" ht="25" customHeight="1" spans="1:4">
      <c r="A3" s="2"/>
      <c r="B3" s="2"/>
      <c r="C3" s="3" t="s">
        <v>2</v>
      </c>
      <c r="D3" s="5">
        <f ca="1">TODAY()</f>
        <v>46305</v>
      </c>
    </row>
    <row r="4" ht="25" customHeight="1" spans="1:4">
      <c r="A4" s="6" t="s">
        <v>3</v>
      </c>
      <c r="B4" s="6"/>
      <c r="C4" s="6"/>
      <c r="D4" s="6"/>
    </row>
    <row r="5" ht="25" customHeight="1" spans="1:4">
      <c r="A5" s="6" t="s">
        <v>4</v>
      </c>
      <c r="B5" s="6"/>
      <c r="C5" s="6"/>
      <c r="D5" s="6"/>
    </row>
    <row r="6" ht="25" customHeight="1" spans="1:4">
      <c r="A6" s="8" t="s">
        <v>5</v>
      </c>
      <c r="B6" s="9" t="s">
        <v>6</v>
      </c>
      <c r="C6" s="8" t="s">
        <v>7</v>
      </c>
      <c r="D6" s="8" t="s">
        <v>8</v>
      </c>
    </row>
    <row r="7" ht="25" customHeight="1" spans="1:4">
      <c r="A7" s="18" t="s">
        <v>9</v>
      </c>
      <c r="B7" s="19" t="s">
        <v>10</v>
      </c>
      <c r="C7" s="20" t="s">
        <v>11</v>
      </c>
      <c r="D7" s="21">
        <v>105714.29</v>
      </c>
    </row>
    <row r="8" ht="25" customHeight="1" spans="1:4">
      <c r="A8" s="14" t="s">
        <v>12</v>
      </c>
      <c r="B8" s="14"/>
      <c r="C8" s="14"/>
      <c r="D8" s="13">
        <f>D7</f>
        <v>105714.29</v>
      </c>
    </row>
    <row r="9" ht="25" customHeight="1" spans="1:4">
      <c r="A9" s="15" t="s">
        <v>13</v>
      </c>
    </row>
    <row r="10" ht="25" customHeight="1" spans="1:4">
      <c r="A10" s="15" t="s">
        <v>13</v>
      </c>
    </row>
    <row r="11" ht="25" customHeight="1" spans="1:4">
      <c r="A11" s="6" t="s">
        <v>14</v>
      </c>
      <c r="B11" s="6"/>
      <c r="C11" s="6"/>
      <c r="D11" s="6"/>
    </row>
    <row r="12" ht="128" customHeight="1" spans="1:4">
      <c r="A12" s="16" t="s">
        <v>15</v>
      </c>
      <c r="B12" s="17"/>
      <c r="C12" s="17"/>
      <c r="D12" s="17"/>
    </row>
    <row r="13" ht="25" customHeight="1" spans="1:4">
      <c r="A13" s="17"/>
      <c r="B13" s="17"/>
      <c r="C13" s="17"/>
      <c r="D13" s="17"/>
    </row>
    <row r="14" ht="25" customHeight="1" spans="1:4">
      <c r="A14" s="17"/>
      <c r="B14" s="17"/>
      <c r="C14" s="17"/>
      <c r="D14" s="17"/>
    </row>
  </sheetData>
  <mergeCells count="8">
    <mergeCell ref="A1:D1"/>
    <mergeCell ref="A4:D4"/>
    <mergeCell ref="A5:D5"/>
    <mergeCell ref="A8:C8"/>
    <mergeCell ref="A11:D11"/>
    <mergeCell ref="A12:D12"/>
    <mergeCell ref="A13:D13"/>
    <mergeCell ref="A14:D14"/>
  </mergeCell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E12" sqref="E12"/>
    </sheetView>
  </sheetViews>
  <sheetFormatPr defaultColWidth="8.60576923076923" defaultRowHeight="16.8" outlineLevelCol="3"/>
  <cols>
    <col min="1" max="1" width="20.8461538461538" customWidth="1"/>
    <col min="2" max="2" width="21.1634615384615" customWidth="1"/>
    <col min="3" max="3" width="18.6057692307692" customWidth="1"/>
    <col min="4" max="4" width="22.4615384615385" customWidth="1"/>
  </cols>
  <sheetData>
    <row r="1" ht="25" customHeight="1" spans="1:4">
      <c r="A1" s="1" t="s">
        <v>0</v>
      </c>
      <c r="B1" s="1"/>
      <c r="C1" s="1"/>
      <c r="D1" s="1"/>
    </row>
    <row r="2" ht="25" customHeight="1" spans="1:4">
      <c r="A2" s="2"/>
      <c r="B2" s="2"/>
      <c r="C2" s="3" t="s">
        <v>1</v>
      </c>
      <c r="D2" s="4">
        <v>20260918001</v>
      </c>
    </row>
    <row r="3" ht="25" customHeight="1" spans="1:4">
      <c r="A3" s="2"/>
      <c r="B3" s="2"/>
      <c r="C3" s="3" t="s">
        <v>2</v>
      </c>
      <c r="D3" s="5">
        <f ca="1">TODAY()</f>
        <v>46305</v>
      </c>
    </row>
    <row r="4" ht="25" customHeight="1" spans="1:4">
      <c r="A4" s="6" t="s">
        <v>16</v>
      </c>
      <c r="B4" s="6"/>
      <c r="C4" s="6"/>
      <c r="D4" s="6"/>
    </row>
    <row r="5" ht="25" customHeight="1" spans="1:4">
      <c r="A5" s="6" t="s">
        <v>17</v>
      </c>
      <c r="B5" s="6"/>
      <c r="C5" s="6"/>
      <c r="D5" s="6"/>
    </row>
    <row r="6" ht="25" customHeight="1" spans="1:4">
      <c r="A6" s="8" t="s">
        <v>5</v>
      </c>
      <c r="B6" s="9" t="s">
        <v>6</v>
      </c>
      <c r="C6" s="8" t="s">
        <v>7</v>
      </c>
      <c r="D6" s="8" t="s">
        <v>8</v>
      </c>
    </row>
    <row r="7" ht="25" customHeight="1" spans="1:4">
      <c r="A7" s="10" t="s">
        <v>9</v>
      </c>
      <c r="B7" s="11" t="s">
        <v>10</v>
      </c>
      <c r="C7" s="12" t="s">
        <v>18</v>
      </c>
      <c r="D7" s="13">
        <v>3218.43</v>
      </c>
    </row>
    <row r="8" ht="25" customHeight="1" spans="1:4">
      <c r="A8" s="14" t="s">
        <v>12</v>
      </c>
      <c r="B8" s="14"/>
      <c r="C8" s="14"/>
      <c r="D8" s="13">
        <f>D7</f>
        <v>3218.43</v>
      </c>
    </row>
    <row r="9" ht="25" customHeight="1" spans="1:4">
      <c r="A9" s="15" t="s">
        <v>13</v>
      </c>
    </row>
    <row r="10" ht="25" customHeight="1" spans="1:4">
      <c r="A10" s="15" t="s">
        <v>13</v>
      </c>
    </row>
    <row r="11" ht="25" customHeight="1" spans="1:4">
      <c r="A11" s="6" t="s">
        <v>14</v>
      </c>
      <c r="B11" s="6"/>
      <c r="C11" s="6"/>
      <c r="D11" s="6"/>
    </row>
    <row r="12" ht="128" customHeight="1" spans="1:4">
      <c r="A12" s="16" t="s">
        <v>15</v>
      </c>
      <c r="B12" s="17"/>
      <c r="C12" s="17"/>
      <c r="D12" s="17"/>
    </row>
    <row r="13" ht="25" customHeight="1" spans="1:4">
      <c r="A13" s="17"/>
      <c r="B13" s="17"/>
      <c r="C13" s="17"/>
      <c r="D13" s="17"/>
    </row>
    <row r="14" ht="25" customHeight="1" spans="1:4">
      <c r="A14" s="17"/>
      <c r="B14" s="17"/>
      <c r="C14" s="17"/>
      <c r="D14" s="17"/>
    </row>
  </sheetData>
  <mergeCells count="8">
    <mergeCell ref="A1:D1"/>
    <mergeCell ref="A4:D4"/>
    <mergeCell ref="A5:D5"/>
    <mergeCell ref="A8:C8"/>
    <mergeCell ref="A11:D11"/>
    <mergeCell ref="A12:D12"/>
    <mergeCell ref="A13:D13"/>
    <mergeCell ref="A14:D14"/>
  </mergeCells>
  <pageMargins left="0.75" right="0.75" top="1" bottom="1" header="0.5" footer="0.5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J12" sqref="J12"/>
    </sheetView>
  </sheetViews>
  <sheetFormatPr defaultColWidth="8.60576923076923" defaultRowHeight="16.8" outlineLevelCol="3"/>
  <cols>
    <col min="1" max="1" width="20.8461538461538" customWidth="1"/>
    <col min="2" max="2" width="21.1634615384615" customWidth="1"/>
    <col min="3" max="3" width="18.6057692307692" customWidth="1"/>
    <col min="4" max="4" width="22.4615384615385" customWidth="1"/>
  </cols>
  <sheetData>
    <row r="1" ht="25" customHeight="1" spans="1:4">
      <c r="A1" s="1" t="s">
        <v>0</v>
      </c>
      <c r="B1" s="1"/>
      <c r="C1" s="1"/>
      <c r="D1" s="1"/>
    </row>
    <row r="2" ht="25" customHeight="1" spans="1:4">
      <c r="A2" s="2"/>
      <c r="B2" s="2"/>
      <c r="C2" s="3" t="s">
        <v>1</v>
      </c>
      <c r="D2" s="4">
        <v>20261009001</v>
      </c>
    </row>
    <row r="3" ht="25" customHeight="1" spans="1:4">
      <c r="A3" s="2"/>
      <c r="B3" s="2"/>
      <c r="C3" s="3" t="s">
        <v>2</v>
      </c>
      <c r="D3" s="5">
        <f ca="1">TODAY()</f>
        <v>46305</v>
      </c>
    </row>
    <row r="4" ht="25" customHeight="1" spans="1:4">
      <c r="A4" s="6" t="s">
        <v>16</v>
      </c>
      <c r="B4" s="6"/>
      <c r="C4" s="6"/>
      <c r="D4" s="6"/>
    </row>
    <row r="5" ht="25" customHeight="1" spans="1:4">
      <c r="A5" s="6" t="s">
        <v>17</v>
      </c>
      <c r="B5" s="6"/>
      <c r="C5" s="6"/>
      <c r="D5" s="6"/>
    </row>
    <row r="6" ht="25" customHeight="1" spans="1:4">
      <c r="A6" s="8" t="s">
        <v>5</v>
      </c>
      <c r="B6" s="9" t="s">
        <v>6</v>
      </c>
      <c r="C6" s="8" t="s">
        <v>7</v>
      </c>
      <c r="D6" s="8" t="s">
        <v>8</v>
      </c>
    </row>
    <row r="7" ht="25" customHeight="1" spans="1:4">
      <c r="A7" s="10" t="s">
        <v>9</v>
      </c>
      <c r="B7" s="11" t="s">
        <v>10</v>
      </c>
      <c r="C7" s="12" t="s">
        <v>19</v>
      </c>
      <c r="D7" s="13">
        <v>617.97</v>
      </c>
    </row>
    <row r="8" ht="25" customHeight="1" spans="1:4">
      <c r="A8" s="14" t="s">
        <v>12</v>
      </c>
      <c r="B8" s="14"/>
      <c r="C8" s="14"/>
      <c r="D8" s="13">
        <f>D7</f>
        <v>617.97</v>
      </c>
    </row>
    <row r="9" ht="25" customHeight="1" spans="1:4">
      <c r="A9" s="15" t="s">
        <v>13</v>
      </c>
    </row>
    <row r="10" ht="25" customHeight="1" spans="1:4">
      <c r="A10" s="15" t="s">
        <v>13</v>
      </c>
    </row>
    <row r="11" ht="25" customHeight="1" spans="1:4">
      <c r="A11" s="6" t="s">
        <v>14</v>
      </c>
      <c r="B11" s="6"/>
      <c r="C11" s="6"/>
      <c r="D11" s="6"/>
    </row>
    <row r="12" ht="128" customHeight="1" spans="1:4">
      <c r="A12" s="16" t="s">
        <v>15</v>
      </c>
      <c r="B12" s="17"/>
      <c r="C12" s="17"/>
      <c r="D12" s="17"/>
    </row>
    <row r="13" ht="25" customHeight="1" spans="1:4">
      <c r="A13" s="17"/>
      <c r="B13" s="17"/>
      <c r="C13" s="17"/>
      <c r="D13" s="17"/>
    </row>
    <row r="14" ht="25" customHeight="1" spans="1:4">
      <c r="A14" s="17"/>
      <c r="B14" s="17"/>
      <c r="C14" s="17"/>
      <c r="D14" s="17"/>
    </row>
  </sheetData>
  <mergeCells count="8">
    <mergeCell ref="A1:D1"/>
    <mergeCell ref="A4:D4"/>
    <mergeCell ref="A5:D5"/>
    <mergeCell ref="A8:C8"/>
    <mergeCell ref="A11:D11"/>
    <mergeCell ref="A12:D12"/>
    <mergeCell ref="A13:D13"/>
    <mergeCell ref="A14:D14"/>
  </mergeCells>
  <pageMargins left="0.75" right="0.75" top="1" bottom="1" header="0.5" footer="0.5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C15" sqref="C15"/>
    </sheetView>
  </sheetViews>
  <sheetFormatPr defaultColWidth="8.60576923076923" defaultRowHeight="16.8" outlineLevelCol="3"/>
  <cols>
    <col min="1" max="1" width="20.8461538461538" customWidth="1"/>
    <col min="2" max="2" width="21.1634615384615" customWidth="1"/>
    <col min="3" max="3" width="29.4903846153846" customWidth="1"/>
    <col min="4" max="4" width="34.4519230769231" customWidth="1"/>
  </cols>
  <sheetData>
    <row r="1" ht="25" customHeight="1" spans="1:4">
      <c r="A1" s="1" t="s">
        <v>0</v>
      </c>
      <c r="B1" s="1"/>
      <c r="C1" s="1"/>
      <c r="D1" s="1"/>
    </row>
    <row r="2" ht="25" customHeight="1" spans="1:4">
      <c r="A2" s="2"/>
      <c r="B2" s="2"/>
      <c r="C2" s="3" t="s">
        <v>1</v>
      </c>
      <c r="D2" s="4">
        <v>20260921001</v>
      </c>
    </row>
    <row r="3" ht="25" customHeight="1" spans="1:4">
      <c r="A3" s="2"/>
      <c r="B3" s="2"/>
      <c r="C3" s="3" t="s">
        <v>2</v>
      </c>
      <c r="D3" s="5">
        <f ca="1">TODAY()</f>
        <v>46305</v>
      </c>
    </row>
    <row r="4" ht="25" customHeight="1" spans="1:4">
      <c r="A4" s="6" t="s">
        <v>20</v>
      </c>
      <c r="B4" s="6"/>
      <c r="C4" s="6"/>
      <c r="D4" s="6"/>
    </row>
    <row r="5" ht="25" customHeight="1" spans="1:4">
      <c r="A5" s="7" t="s">
        <v>21</v>
      </c>
      <c r="B5" s="6"/>
      <c r="C5" s="6"/>
      <c r="D5" s="6"/>
    </row>
    <row r="6" ht="25" customHeight="1" spans="1:4">
      <c r="A6" s="8" t="s">
        <v>5</v>
      </c>
      <c r="B6" s="9" t="s">
        <v>6</v>
      </c>
      <c r="C6" s="8" t="s">
        <v>7</v>
      </c>
      <c r="D6" s="8" t="s">
        <v>8</v>
      </c>
    </row>
    <row r="7" ht="25" customHeight="1" spans="1:4">
      <c r="A7" s="10" t="s">
        <v>22</v>
      </c>
      <c r="B7" s="11" t="s">
        <v>10</v>
      </c>
      <c r="C7" s="12" t="s">
        <v>23</v>
      </c>
      <c r="D7" s="13">
        <v>107814.17</v>
      </c>
    </row>
    <row r="8" ht="25" customHeight="1" spans="1:4">
      <c r="A8" s="14" t="s">
        <v>12</v>
      </c>
      <c r="B8" s="14"/>
      <c r="C8" s="14"/>
      <c r="D8" s="13">
        <f>D7</f>
        <v>107814.17</v>
      </c>
    </row>
    <row r="9" ht="25" customHeight="1" spans="1:4">
      <c r="A9" s="15" t="s">
        <v>13</v>
      </c>
    </row>
    <row r="10" ht="25" customHeight="1" spans="1:4">
      <c r="A10" s="15" t="s">
        <v>13</v>
      </c>
    </row>
    <row r="11" ht="25" customHeight="1" spans="1:4">
      <c r="A11" s="6" t="s">
        <v>14</v>
      </c>
      <c r="B11" s="6"/>
      <c r="C11" s="6"/>
      <c r="D11" s="6"/>
    </row>
    <row r="12" ht="128" customHeight="1" spans="1:4">
      <c r="A12" s="16" t="s">
        <v>15</v>
      </c>
      <c r="B12" s="17"/>
      <c r="C12" s="17"/>
      <c r="D12" s="17"/>
    </row>
    <row r="13" ht="25" customHeight="1" spans="1:4">
      <c r="A13" s="17"/>
      <c r="B13" s="17"/>
      <c r="C13" s="17"/>
      <c r="D13" s="17"/>
    </row>
    <row r="14" ht="25" customHeight="1" spans="1:4">
      <c r="A14" s="17"/>
      <c r="B14" s="17"/>
      <c r="C14" s="17"/>
      <c r="D14" s="17"/>
    </row>
  </sheetData>
  <mergeCells count="8">
    <mergeCell ref="A1:D1"/>
    <mergeCell ref="A4:D4"/>
    <mergeCell ref="A5:D5"/>
    <mergeCell ref="A8:C8"/>
    <mergeCell ref="A11:D11"/>
    <mergeCell ref="A12:D12"/>
    <mergeCell ref="A13:D13"/>
    <mergeCell ref="A14:D14"/>
  </mergeCells>
  <pageMargins left="0.75" right="0.75" top="1" bottom="1" header="0.5" footer="0.5"/>
  <pageSetup paperSize="9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A12" sqref="A12:D12"/>
    </sheetView>
  </sheetViews>
  <sheetFormatPr defaultColWidth="8.60576923076923" defaultRowHeight="16.8" outlineLevelCol="3"/>
  <cols>
    <col min="1" max="1" width="20.8461538461538" customWidth="1"/>
    <col min="2" max="2" width="21.1634615384615" customWidth="1"/>
    <col min="3" max="3" width="29.4903846153846" customWidth="1"/>
    <col min="4" max="4" width="34.4519230769231" customWidth="1"/>
  </cols>
  <sheetData>
    <row r="1" ht="25" customHeight="1" spans="1:4">
      <c r="A1" s="1" t="s">
        <v>0</v>
      </c>
      <c r="B1" s="1"/>
      <c r="C1" s="1"/>
      <c r="D1" s="1"/>
    </row>
    <row r="2" ht="25" customHeight="1" spans="1:4">
      <c r="A2" s="2"/>
      <c r="B2" s="2"/>
      <c r="C2" s="3" t="s">
        <v>1</v>
      </c>
      <c r="D2" s="4">
        <v>20261009001</v>
      </c>
    </row>
    <row r="3" ht="25" customHeight="1" spans="1:4">
      <c r="A3" s="2"/>
      <c r="B3" s="2"/>
      <c r="C3" s="3" t="s">
        <v>2</v>
      </c>
      <c r="D3" s="5">
        <f ca="1">TODAY()</f>
        <v>46305</v>
      </c>
    </row>
    <row r="4" ht="25" customHeight="1" spans="1:4">
      <c r="A4" s="6" t="s">
        <v>20</v>
      </c>
      <c r="B4" s="6"/>
      <c r="C4" s="6"/>
      <c r="D4" s="6"/>
    </row>
    <row r="5" ht="25" customHeight="1" spans="1:4">
      <c r="A5" s="7" t="s">
        <v>21</v>
      </c>
      <c r="B5" s="6"/>
      <c r="C5" s="6"/>
      <c r="D5" s="6"/>
    </row>
    <row r="6" ht="25" customHeight="1" spans="1:4">
      <c r="A6" s="8" t="s">
        <v>5</v>
      </c>
      <c r="B6" s="9" t="s">
        <v>6</v>
      </c>
      <c r="C6" s="8" t="s">
        <v>7</v>
      </c>
      <c r="D6" s="8" t="s">
        <v>8</v>
      </c>
    </row>
    <row r="7" ht="25" customHeight="1" spans="1:4">
      <c r="A7" s="10" t="s">
        <v>22</v>
      </c>
      <c r="B7" s="11" t="s">
        <v>10</v>
      </c>
      <c r="C7" s="12" t="s">
        <v>24</v>
      </c>
      <c r="D7" s="13">
        <v>11343.69</v>
      </c>
    </row>
    <row r="8" ht="25" customHeight="1" spans="1:4">
      <c r="A8" s="14" t="s">
        <v>12</v>
      </c>
      <c r="B8" s="14"/>
      <c r="C8" s="14"/>
      <c r="D8" s="13">
        <v>11343.69</v>
      </c>
    </row>
    <row r="9" ht="25" customHeight="1" spans="1:4">
      <c r="A9" s="15" t="s">
        <v>13</v>
      </c>
    </row>
    <row r="10" ht="25" customHeight="1" spans="1:4">
      <c r="A10" s="15" t="s">
        <v>13</v>
      </c>
    </row>
    <row r="11" ht="25" customHeight="1" spans="1:4">
      <c r="A11" s="6" t="s">
        <v>14</v>
      </c>
      <c r="B11" s="6"/>
      <c r="C11" s="6"/>
      <c r="D11" s="6"/>
    </row>
    <row r="12" ht="128" customHeight="1" spans="1:4">
      <c r="A12" s="16" t="s">
        <v>15</v>
      </c>
      <c r="B12" s="17"/>
      <c r="C12" s="17"/>
      <c r="D12" s="17"/>
    </row>
    <row r="13" ht="25" customHeight="1" spans="1:4">
      <c r="A13" s="17"/>
      <c r="B13" s="17"/>
      <c r="C13" s="17"/>
      <c r="D13" s="17"/>
    </row>
    <row r="14" ht="25" customHeight="1" spans="1:4">
      <c r="A14" s="17"/>
      <c r="B14" s="17"/>
      <c r="C14" s="17"/>
      <c r="D14" s="17"/>
    </row>
  </sheetData>
  <mergeCells count="8">
    <mergeCell ref="A1:D1"/>
    <mergeCell ref="A4:D4"/>
    <mergeCell ref="A5:D5"/>
    <mergeCell ref="A8:C8"/>
    <mergeCell ref="A11:D11"/>
    <mergeCell ref="A12:D12"/>
    <mergeCell ref="A13:D13"/>
    <mergeCell ref="A14:D14"/>
  </mergeCells>
  <pageMargins left="0.75" right="0.75" top="1" bottom="1" header="0.5" footer="0.5"/>
  <pageSetup paperSize="9" orientation="landscape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8" workbookViewId="0">
      <selection activeCell="J16" sqref="J16"/>
    </sheetView>
  </sheetViews>
  <sheetFormatPr defaultColWidth="8.73076923076923" defaultRowHeight="16.8"/>
  <sheetData/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FAR</vt:lpstr>
      <vt:lpstr>hehe8月账单</vt:lpstr>
      <vt:lpstr>hehe9月账单</vt:lpstr>
      <vt:lpstr>瑞云账单～9.07~9.12</vt:lpstr>
      <vt:lpstr>瑞云账单～9.13~9.30</vt:lpstr>
      <vt:lpstr>章子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晨曦墨</cp:lastModifiedBy>
  <dcterms:created xsi:type="dcterms:W3CDTF">2025-09-19T03:11:00Z</dcterms:created>
  <dcterms:modified xsi:type="dcterms:W3CDTF">2026-10-10T16:43:00Z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1007872E0D77A0F294FAC96A71C2161E_43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